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e4860e018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d306da47e8b4d5d"/>
    <x:sheet xmlns:r="http://schemas.openxmlformats.org/officeDocument/2006/relationships" name="Legend-Key" sheetId="2" r:id="R2a26d131c3844879"/>
    <x:sheet xmlns:r="http://schemas.openxmlformats.org/officeDocument/2006/relationships" name="Inputs" sheetId="3" r:id="Rc00351cfcf0e464a"/>
    <x:sheet xmlns:r="http://schemas.openxmlformats.org/officeDocument/2006/relationships" name="Forward-Hedge" sheetId="4" r:id="R0fe221d893d2435e"/>
    <x:sheet xmlns:r="http://schemas.openxmlformats.org/officeDocument/2006/relationships" name="Money-Market-Hedge" sheetId="5" r:id="R59da9a00dc56495e"/>
    <x:sheet xmlns:r="http://schemas.openxmlformats.org/officeDocument/2006/relationships" name="Options-Hedge" sheetId="6" r:id="R86afa386fad04827"/>
    <x:sheet xmlns:r="http://schemas.openxmlformats.org/officeDocument/2006/relationships" name="Sensitivity" sheetId="7" r:id="R496c8d8b18a749f3"/>
    <x:sheet xmlns:r="http://schemas.openxmlformats.org/officeDocument/2006/relationships" name="Notes-Assumptions" sheetId="8" r:id="Rbb5bfb6310d0470a"/>
  </x:sheets>
  <x:definedNames>
    <x:definedName name="FC_AMT">Inputs!$B$4</x:definedName>
    <x:definedName name="S0_in">Inputs!$B$5</x:definedName>
    <x:definedName name="F0_in">Inputs!$B$6</x:definedName>
    <x:definedName name="R_USD">Inputs!$B$7</x:definedName>
    <x:definedName name="R_FC">Inputs!$B$8</x:definedName>
    <x:definedName name="K_PUT">Inputs!$B$9</x:definedName>
    <x:definedName name="K_CALL">Inputs!$B$10</x:definedName>
    <x:definedName name="PREM_PUT">Inputs!$B$11</x:definedName>
    <x:definedName name="PREM_CALL">Inputs!$B$12</x:definedName>
    <x:definedName name="T_DAYS">Inputs!$B$13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000"/>
    <x:numFmt numFmtId="202" formatCode="0"/>
    <x:numFmt numFmtId="203" formatCode="$#,##0;[Red]($#,##0);-"/>
    <x:numFmt numFmtId="204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D9EAD3"/>
      </x:patternFill>
    </x:fill>
    <x:fill>
      <x:patternFill patternType="solid">
        <x:fgColor rgb="FF164E63"/>
      </x:patternFill>
    </x:fill>
    <x:fill>
      <x:patternFill patternType="solid">
        <x:fgColor rgb="FFFFF2CC"/>
      </x:patternFill>
    </x:fill>
    <x:fill>
      <x:patternFill patternType="solid">
        <x:fgColor rgb="FFCFE2F3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3" fontId="2" fillId="7" borderId="0" xfId="0" applyNumberFormat="1" applyFont="1" applyFill="1" applyBorder="1"/>
    <x:xf numFmtId="203" fontId="2" fillId="7" borderId="1" xfId="0" applyNumberFormat="1" applyFont="1" applyFill="1" applyBorder="1"/>
    <x:xf numFmtId="203" fontId="0" fillId="3" borderId="0" xfId="0" applyNumberFormat="1" applyFont="1" applyFill="1" applyBorder="1"/>
    <x:xf numFmtId="203" fontId="0" fillId="3" borderId="1" xfId="0" applyNumberFormat="1" applyFont="1" applyFill="1" applyBorder="1"/>
    <x:xf numFmtId="204" fontId="0" fillId="3" borderId="0" xfId="0" applyNumberFormat="1" applyFont="1" applyFill="1" applyBorder="1"/>
    <x:xf numFmtId="204" fontId="0" fillId="6" borderId="0" xfId="0" applyNumberFormat="1" applyFont="1" applyFill="1" applyBorder="1"/>
    <x:xf numFmtId="204" fontId="0" fillId="3" borderId="1" xfId="0" applyNumberFormat="1" applyFont="1" applyFill="1" applyBorder="1"/>
    <x:xf numFmtId="204" fontId="0" fillId="6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203" fontId="2" fillId="7" borderId="0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203" fontId="2" fillId="7" borderId="1" xfId="0" applyNumberFormat="1" applyFont="1" applyFill="1" applyBorder="1" applyAlignment="1">
      <x:alignment vertical="center"/>
    </x:xf>
    <x:xf numFmtId="203" fontId="0" fillId="3" borderId="0" xfId="0" applyNumberFormat="1" applyFont="1" applyFill="1" applyBorder="1" applyAlignment="1">
      <x:alignment vertical="center"/>
    </x:xf>
    <x:xf numFmtId="204" fontId="0" fillId="3" borderId="0" xfId="0" applyNumberFormat="1" applyFont="1" applyFill="1" applyBorder="1" applyAlignment="1">
      <x:alignment vertical="center"/>
    </x:xf>
    <x:xf numFmtId="204" fontId="0" fillId="6" borderId="0" xfId="0" applyNumberFormat="1" applyFont="1" applyFill="1" applyBorder="1" applyAlignment="1">
      <x:alignment vertical="center"/>
    </x:xf>
    <x:xf numFmtId="203" fontId="0" fillId="3" borderId="1" xfId="0" applyNumberFormat="1" applyFont="1" applyFill="1" applyBorder="1" applyAlignment="1">
      <x:alignment vertical="center"/>
    </x:xf>
    <x:xf numFmtId="204" fontId="0" fillId="3" borderId="1" xfId="0" applyNumberFormat="1" applyFont="1" applyFill="1" applyBorder="1" applyAlignment="1">
      <x:alignment vertical="center"/>
    </x:xf>
    <x:xf numFmtId="204" fontId="0" fillId="6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49e67f8714bc4" /><Relationship Type="http://schemas.openxmlformats.org/officeDocument/2006/relationships/theme" Target="/xl/theme/theme1.xml" Id="R2af3ad93e099445d" /><Relationship Type="http://schemas.openxmlformats.org/officeDocument/2006/relationships/sharedStrings" Target="/xl/sharedStrings.xml" Id="Reff3b1b980eb4793" /><Relationship Type="http://schemas.openxmlformats.org/officeDocument/2006/relationships/worksheet" Target="/xl/worksheets/sheet1.xml" Id="R7d306da47e8b4d5d" /><Relationship Type="http://schemas.openxmlformats.org/officeDocument/2006/relationships/worksheet" Target="/xl/worksheets/sheet2.xml" Id="R2a26d131c3844879" /><Relationship Type="http://schemas.openxmlformats.org/officeDocument/2006/relationships/worksheet" Target="/xl/worksheets/sheet3.xml" Id="Rc00351cfcf0e464a" /><Relationship Type="http://schemas.openxmlformats.org/officeDocument/2006/relationships/worksheet" Target="/xl/worksheets/sheet4.xml" Id="R0fe221d893d2435e" /><Relationship Type="http://schemas.openxmlformats.org/officeDocument/2006/relationships/worksheet" Target="/xl/worksheets/sheet5.xml" Id="R59da9a00dc56495e" /><Relationship Type="http://schemas.openxmlformats.org/officeDocument/2006/relationships/worksheet" Target="/xl/worksheets/sheet6.xml" Id="R86afa386fad04827" /><Relationship Type="http://schemas.openxmlformats.org/officeDocument/2006/relationships/worksheet" Target="/xl/worksheets/sheet7.xml" Id="R496c8d8b18a749f3" /><Relationship Type="http://schemas.openxmlformats.org/officeDocument/2006/relationships/worksheet" Target="/xl/worksheets/sheet8.xml" Id="Rbb5bfb6310d047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282172d7f244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USD Proceeds by Hedge Strategy vs. Ending EURUSD Spot</a:t>
            </a:r>
          </a:p>
        </c:rich>
      </c:tx>
    </c:title>
    <c:plotArea>
      <c:lineChart>
        <c:grouping val="standard"/>
        <c:ser>
          <c:idx val="0"/>
          <c:order val="0"/>
          <c:tx>
            <c:v>Unhedged USD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'Sensitivity'!$C$4:$C$14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Forward USD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'Sensitivity'!$D$4:$D$14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Money-Market USD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'Sensitivity'!$E$4:$E$14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Put Net USD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'Sensitivity'!$F$4:$F$14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Call Net USD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'Sensitivity'!$G$4:$G$14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282172d7f244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3fcbb69d0364df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FX Hedging Model — U.S. Pharmaceutical Exporter</x:v>
      </x:c>
      <x:c r="B1" s="5"/>
      <x:c r="C1" s="5"/>
      <x:c r="D1" s="5"/>
      <x:c r="E1" s="5"/>
      <x:c r="F1" s="5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Field</x:v>
      </x:c>
      <x:c r="B3" s="13" t="str">
        <x:v>Value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60" t="str">
        <x:v>Author</x:v>
      </x:c>
      <x:c r="B4" s="60" t="str">
        <x:v>Amelia Ritschard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60" t="str">
        <x:v>Course</x:v>
      </x:c>
      <x:c r="B5" s="60" t="str">
        <x:v>FIN 321 — International Business Finance, Sec. 701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60" t="str">
        <x:v>Scenario</x:v>
      </x:c>
      <x:c r="B6" s="60" t="str">
        <x:v>U.S. Pharmaceutical Exporter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60" t="str">
        <x:v>Scenario Slug</x:v>
      </x:c>
      <x:c r="B7" s="60" t="str">
        <x:v>pharma-exporter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60" t="str">
        <x:v>Exposure</x:v>
      </x:c>
      <x:c r="B8" s="60" t="str">
        <x:v>EUR 8,000,000 receivable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60" t="str">
        <x:v>Exposure Direction</x:v>
      </x:c>
      <x:c r="B9" s="60" t="str">
        <x:v>Receivable; risk is EUR depreciation vs. USD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60" t="str">
        <x:v>Model Date</x:v>
      </x:c>
      <x:c r="B10" s="60" t="str">
        <x:v>August 7, 2026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61" t="str">
        <x:v>Data Provenance</x:v>
      </x:c>
      <x:c r="B12" s="61"/>
      <x:c r="C12" s="61"/>
      <x:c r="D12" s="61"/>
      <x:c r="E12" s="61"/>
      <x:c r="F12" s="61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62" t="str">
        <x:v>Phase 2/3 market values are indicative modeling placeholders unless identified as scenario-provided. Phase 4 will replace the appropriate market inputs with live data and documented sources. FC_AMT and the indicative forward are scenario-provided; option premiums remain scenario assumptions in Phase 4.</x:v>
      </x:c>
      <x:c r="B13" s="62"/>
      <x:c r="C13" s="62"/>
      <x:c r="D13" s="62"/>
      <x:c r="E13" s="62"/>
      <x:c r="F13" s="62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62"/>
      <x:c r="B14" s="62"/>
      <x:c r="C14" s="62"/>
      <x:c r="D14" s="62"/>
      <x:c r="E14" s="62"/>
      <x:c r="F14" s="62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2"/>
      <x:c r="B15" s="62"/>
      <x:c r="C15" s="62"/>
      <x:c r="D15" s="62"/>
      <x:c r="E15" s="62"/>
      <x:c r="F15" s="62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2"/>
      <x:c r="B16" s="62"/>
      <x:c r="C16" s="62"/>
      <x:c r="D16" s="62"/>
      <x:c r="E16" s="62"/>
      <x:c r="F16" s="62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F1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5" t="str">
        <x:v>Legend / Key</x:v>
      </x:c>
      <x:c r="B1" s="5"/>
      <x:c r="C1" s="5"/>
      <x:c r="D1" s="5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Color</x:v>
      </x:c>
      <x:c r="B3" s="13" t="str">
        <x:v>Meaning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66" t="str">
        <x:v>Yellow</x:v>
      </x:c>
      <x:c r="B4" s="66" t="str">
        <x:v>Inputs / user-editable market data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67" t="str">
        <x:v>Blue</x:v>
      </x:c>
      <x:c r="B5" s="67" t="str">
        <x:v>Assumptions / conventions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68" t="str">
        <x:v>Green</x:v>
      </x:c>
      <x:c r="B6" s="68" t="str">
        <x:v>Formulas / calculated cells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69" t="str">
        <x:v>Gray</x:v>
      </x:c>
      <x:c r="B7" s="69" t="str">
        <x:v>Outputs / summary results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13" t="str">
        <x:v>Notation</x:v>
      </x:c>
      <x:c r="B9" s="13" t="str">
        <x:v>Definition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60" t="str">
        <x:v>S0</x:v>
      </x:c>
      <x:c r="B10" s="60" t="str">
        <x:v>Current EURUSD spot rate (USD per EUR)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60" t="str">
        <x:v>S_T</x:v>
      </x:c>
      <x:c r="B11" s="60" t="str">
        <x:v>Ending EURUSD spot rate at hedge maturity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60" t="str">
        <x:v>FC</x:v>
      </x:c>
      <x:c r="B12" s="60" t="str">
        <x:v>Foreign currency (EUR)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8" hidden="0" customWidth="1"/>
    <x:col min="5" max="5" width="48" hidden="0" customWidth="1"/>
  </x:cols>
  <x:sheetData>
    <x:row r="1">
      <x:c r="A1" s="42" t="str">
        <x:v>Model Inputs — Named-Range Contract</x:v>
      </x:c>
      <x:c r="B1" s="42"/>
      <x:c r="C1" s="42"/>
      <x:c r="D1" s="42"/>
      <x:c r="E1" s="42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 t="n">
        <x:v>8000000</x:v>
      </x:c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Named Range</x:v>
      </x:c>
      <x:c r="B3" s="13" t="str">
        <x:v>Value</x:v>
      </x:c>
      <x:c r="C3" s="13" t="str">
        <x:v>Unit</x:v>
      </x:c>
      <x:c r="D3" s="13" t="str">
        <x:v>Meaning</x:v>
      </x:c>
      <x:c r="E3" s="13" t="str">
        <x:v>Provenance / Phase 4 Source</x:v>
      </x:c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60" t="str">
        <x:v>FC_AMT</x:v>
      </x:c>
      <x:c r="B4" s="74" t="n">
        <x:v>8000000</x:v>
      </x:c>
      <x:c r="C4" s="60" t="str">
        <x:v>EUR</x:v>
      </x:c>
      <x:c r="D4" s="60" t="str">
        <x:v>Foreign-currency receivable</x:v>
      </x:c>
      <x:c r="E4" s="60" t="str">
        <x:v>Assigned scenario; remains fixed</x:v>
      </x:c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60" t="str">
        <x:v>S0_in</x:v>
      </x:c>
      <x:c r="B5" s="75" t="n">
        <x:v>1.09</x:v>
      </x:c>
      <x:c r="C5" s="60" t="str">
        <x:v>USD/EUR</x:v>
      </x:c>
      <x:c r="D5" s="60" t="str">
        <x:v>Current spot exchange rate</x:v>
      </x:c>
      <x:c r="E5" s="60" t="str">
        <x:v>Indicative placeholder; replace with live EURUSD spot</x:v>
      </x:c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60" t="str">
        <x:v>F0_in</x:v>
      </x:c>
      <x:c r="B6" s="75" t="n">
        <x:v>1.089</x:v>
      </x:c>
      <x:c r="C6" s="60" t="str">
        <x:v>USD/EUR</x:v>
      </x:c>
      <x:c r="D6" s="60" t="str">
        <x:v>1-year forward rate</x:v>
      </x:c>
      <x:c r="E6" s="60" t="str">
        <x:v>Scenario-provided indicative; replace with live quote or CIP-implied forward</x:v>
      </x:c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60" t="str">
        <x:v>R_USD</x:v>
      </x:c>
      <x:c r="B7" s="75" t="n">
        <x:v>0.029</x:v>
      </x:c>
      <x:c r="C7" s="60" t="str">
        <x:v>decimal annual</x:v>
      </x:c>
      <x:c r="D7" s="60" t="str">
        <x:v>1-year USD interest rate</x:v>
      </x:c>
      <x:c r="E7" s="60" t="str">
        <x:v>Indicative placeholder; replace with live USD rate</x:v>
      </x:c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60" t="str">
        <x:v>R_FC</x:v>
      </x:c>
      <x:c r="B8" s="75" t="n">
        <x:v>0.03</x:v>
      </x:c>
      <x:c r="C8" s="60" t="str">
        <x:v>decimal annual</x:v>
      </x:c>
      <x:c r="D8" s="60" t="str">
        <x:v>1-year EUR interest rate</x:v>
      </x:c>
      <x:c r="E8" s="60" t="str">
        <x:v>Indicative placeholder; replace with live EUR rate</x:v>
      </x:c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60" t="str">
        <x:v>K_PUT</x:v>
      </x:c>
      <x:c r="B9" s="75" t="n">
        <x:v>1.09</x:v>
      </x:c>
      <x:c r="C9" s="60" t="str">
        <x:v>USD/EUR</x:v>
      </x:c>
      <x:c r="D9" s="60" t="str">
        <x:v>EUR put strike</x:v>
      </x:c>
      <x:c r="E9" s="60" t="str">
        <x:v>Indicative placeholder; set at/near live spot</x:v>
      </x:c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60" t="str">
        <x:v>K_CALL</x:v>
      </x:c>
      <x:c r="B10" s="75" t="n">
        <x:v>1.09</x:v>
      </x:c>
      <x:c r="C10" s="60" t="str">
        <x:v>USD/EUR</x:v>
      </x:c>
      <x:c r="D10" s="60" t="str">
        <x:v>EUR call strike</x:v>
      </x:c>
      <x:c r="E10" s="60" t="str">
        <x:v>Indicative placeholder; set at/near live spot</x:v>
      </x:c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60" t="str">
        <x:v>PREM_PUT</x:v>
      </x:c>
      <x:c r="B11" s="75" t="n">
        <x:v>0.02</x:v>
      </x:c>
      <x:c r="C11" s="60" t="str">
        <x:v>USD/EUR</x:v>
      </x:c>
      <x:c r="D11" s="60" t="str">
        <x:v>Put premium</x:v>
      </x:c>
      <x:c r="E11" s="60" t="str">
        <x:v>Scenario assumption; retain at Phase 4</x:v>
      </x:c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60" t="str">
        <x:v>PREM_CALL</x:v>
      </x:c>
      <x:c r="B12" s="75" t="n">
        <x:v>0.02</x:v>
      </x:c>
      <x:c r="C12" s="60" t="str">
        <x:v>USD/EUR</x:v>
      </x:c>
      <x:c r="D12" s="60" t="str">
        <x:v>Call premium</x:v>
      </x:c>
      <x:c r="E12" s="60" t="str">
        <x:v>Scenario assumption; retain at Phase 4</x:v>
      </x:c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60" t="str">
        <x:v>T_DAYS</x:v>
      </x:c>
      <x:c r="B13" s="76" t="n">
        <x:v>360</x:v>
      </x:c>
      <x:c r="C13" s="60" t="str">
        <x:v>days</x:v>
      </x:c>
      <x:c r="D13" s="60" t="str">
        <x:v>Time to maturity</x:v>
      </x:c>
      <x:c r="E13" s="60" t="str">
        <x:v>Assigned one-year scenario</x:v>
      </x:c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5" t="str">
        <x:v>Forward Hedge</x:v>
      </x:c>
      <x:c r="B1" s="5"/>
      <x:c r="C1" s="5"/>
      <x:c r="D1" s="5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Item</x:v>
      </x:c>
      <x:c r="B3" s="13" t="str">
        <x:v>Value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60" t="str">
        <x:v>Foreign Currency Amount</x:v>
      </x:c>
      <x:c r="B4" s="80" t="n">
        <x:f>FC_AMT</x:f>
        <x:v>8000000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60" t="str">
        <x:v>Forward Rate</x:v>
      </x:c>
      <x:c r="B5" s="81" t="n">
        <x:f>F0_in</x:f>
        <x:v>1.089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60" t="str">
        <x:v>Forward USD Proceeds</x:v>
      </x:c>
      <x:c r="B6" s="82" t="n">
        <x:f>FC_AMT*F0_in</x:f>
        <x:v>8712000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60"/>
      <x:c r="B9" s="60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</x:cols>
  <x:sheetData>
    <x:row r="1">
      <x:c r="A1" s="5" t="str">
        <x:v>Money-Market Hedge — Three Explicit Steps</x:v>
      </x:c>
      <x:c r="B1" s="5"/>
      <x:c r="C1" s="5"/>
      <x:c r="D1" s="5"/>
      <x:c r="E1" s="5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Item</x:v>
      </x:c>
      <x:c r="B3" s="13" t="str">
        <x:v>Value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60" t="str">
        <x:v>Step 1 — EUR Borrowed Today</x:v>
      </x:c>
      <x:c r="B4" s="80" t="n">
        <x:f>FC_AMT/(1+R_FC*T_DAYS/360)</x:f>
        <x:v>7766990.291262136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60" t="str">
        <x:v>Step 2 — USD Available Today</x:v>
      </x:c>
      <x:c r="B5" s="86" t="n">
        <x:f>B4*S0_in</x:f>
        <x:v>8466019.417475728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60" t="str">
        <x:v>Step 3 — Money-Market USD Proceeds</x:v>
      </x:c>
      <x:c r="B6" s="86" t="n">
        <x:f>B5*(1+R_USD*T_DAYS/360)</x:f>
        <x:v>8711533.980582524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60" t="str"/>
      <x:c r="B7" s="68" t="str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60" t="str">
        <x:v>CIP-Implied Forward</x:v>
      </x:c>
      <x:c r="B8" s="81" t="n">
        <x:f>S0_in*(1+R_USD*T_DAYS/360)/(1+R_FC*T_DAYS/360)</x:f>
        <x:v>1.0889417475728156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60" t="str">
        <x:v>Parity Difference</x:v>
      </x:c>
      <x:c r="B9" s="81" t="n">
        <x:f>F0_in-B8</x:f>
        <x:v>0.00005825242718437984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60" t="str">
        <x:v>Parity Difference %</x:v>
      </x:c>
      <x:c r="B10" s="87" t="n">
        <x:f>ABS(F0_in-B8)/F0_in</x:f>
        <x:v>0.000053491668672525106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60" t="str">
        <x:v>Parity Tolerance</x:v>
      </x:c>
      <x:c r="B11" s="88" t="n">
        <x:v>0.001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60" t="str">
        <x:v>Parity Check Status</x:v>
      </x:c>
      <x:c r="B12" s="69" t="str">
        <x:f>IF(B10&lt;=B11,"PASS","REVIEW")</x:f>
        <x:v>PASS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60"/>
      <x:c r="B14" s="60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>
      <x:c r="A1" s="5" t="str">
        <x:v>Options Hedge</x:v>
      </x:c>
      <x:c r="B1" s="5"/>
      <x:c r="C1" s="5"/>
      <x:c r="D1" s="5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Item</x:v>
      </x:c>
      <x:c r="B3" s="13" t="str">
        <x:v>Value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60" t="str">
        <x:v>Ending Spot S_T (base case)</x:v>
      </x:c>
      <x:c r="B4" s="81" t="n">
        <x:f>S0_in</x:f>
        <x:v>1.09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60" t="str"/>
      <x:c r="B5" s="81" t="str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60" t="str">
        <x:v>Put Gross Conversion Rate</x:v>
      </x:c>
      <x:c r="B6" s="81" t="n">
        <x:f>MAX(K_PUT,B4)</x:f>
        <x:v>1.09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60" t="str">
        <x:v>Put Gross USD Proceeds</x:v>
      </x:c>
      <x:c r="B7" s="86" t="n">
        <x:f>FC_AMT*MAX(K_PUT,B4)</x:f>
        <x:v>8720000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60" t="str">
        <x:v>Put Premium Paid Today</x:v>
      </x:c>
      <x:c r="B8" s="86" t="n">
        <x:f>FC_AMT*PREM_PUT</x:f>
        <x:v>160000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60" t="str">
        <x:v>Put Premium at Maturity</x:v>
      </x:c>
      <x:c r="B9" s="86" t="n">
        <x:f>FC_AMT*PREM_PUT*(1+R_USD*T_DAYS/360)</x:f>
        <x:v>164640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60" t="str">
        <x:v>Put Net USD Proceeds</x:v>
      </x:c>
      <x:c r="B10" s="82" t="n">
        <x:f>FC_AMT*MAX(K_PUT,B4)-B9</x:f>
        <x:v>8555360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60" t="str"/>
      <x:c r="B11" s="68" t="str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60" t="str">
        <x:v>Call Payoff per EUR</x:v>
      </x:c>
      <x:c r="B12" s="81" t="n">
        <x:f>MAX(B4-K_CALL,0)</x:f>
        <x:v>0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60" t="str">
        <x:v>Call Gross USD Proceeds</x:v>
      </x:c>
      <x:c r="B13" s="86" t="n">
        <x:f>FC_AMT*B4+FC_AMT*MAX(B4-K_CALL,0)</x:f>
        <x:v>8720000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60" t="str">
        <x:v>Call Premium Paid Today</x:v>
      </x:c>
      <x:c r="B14" s="86" t="n">
        <x:f>FC_AMT*PREM_CALL</x:f>
        <x:v>160000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0" t="str">
        <x:v>Call Premium at Maturity</x:v>
      </x:c>
      <x:c r="B15" s="86" t="n">
        <x:f>FC_AMT*PREM_CALL*(1+R_USD*T_DAYS/360)</x:f>
        <x:v>164640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0"/>
      <x:c r="B16" s="92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0" t="str">
        <x:v>Call Net USD Proceeds</x:v>
      </x:c>
      <x:c r="B17" s="82" t="n">
        <x:f>FC_AMT*B4+FC_AMT*MAX(B4-K_CALL,0)-B15</x:f>
        <x:v>8555360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5" t="str">
        <x:v>FX Hedge Sensitivity Analysis</x:v>
      </x:c>
      <x:c r="B1" s="5"/>
      <x:c r="C1" s="5"/>
      <x:c r="D1" s="5"/>
      <x:c r="E1" s="5"/>
      <x:c r="F1" s="5"/>
      <x:c r="G1" s="5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Spot Change %</x:v>
      </x:c>
      <x:c r="B3" s="13" t="str">
        <x:v>Ending Spot S_T</x:v>
      </x:c>
      <x:c r="C3" s="13" t="str">
        <x:v>Unhedged USD Proceeds</x:v>
      </x:c>
      <x:c r="D3" s="13" t="str">
        <x:v>Forward USD Proceeds</x:v>
      </x:c>
      <x:c r="E3" s="13" t="str">
        <x:v>Money-Market USD Proceeds</x:v>
      </x:c>
      <x:c r="F3" s="13" t="str">
        <x:v>Put Net USD Proceeds</x:v>
      </x:c>
      <x:c r="G3" s="13" t="str">
        <x:v>Call Net USD Proceeds</x:v>
      </x:c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94" t="n">
        <x:v>-0.05</x:v>
      </x:c>
      <x:c r="B4" s="81" t="n">
        <x:f>S0_in*(1+A4)</x:f>
        <x:v>1.0355</x:v>
      </x:c>
      <x:c r="C4" s="86" t="n">
        <x:f>FC_AMT*B4</x:f>
        <x:v>8284000.000000001</x:v>
      </x:c>
      <x:c r="D4" s="86" t="n">
        <x:f>FC_AMT*F0_in</x:f>
        <x:v>8712000</x:v>
      </x:c>
      <x:c r="E4" s="86" t="n">
        <x:f>FC_AMT/(1+R_FC*T_DAYS/360)*S0_in*(1+R_USD*T_DAYS/360)</x:f>
        <x:v>8711533.980582524</x:v>
      </x:c>
      <x:c r="F4" s="86" t="n">
        <x:f>FC_AMT*MAX(K_PUT,B4)-FC_AMT*PREM_PUT*(1+R_USD*T_DAYS/360)</x:f>
        <x:v>8555360</x:v>
      </x:c>
      <x:c r="G4" s="86" t="n">
        <x:f>FC_AMT*B4+FC_AMT*MAX(B4-K_CALL,0)-FC_AMT*PREM_CALL*(1+R_USD*T_DAYS/360)</x:f>
        <x:v>8119360.000000001</x:v>
      </x:c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94" t="n">
        <x:v>-0.04</x:v>
      </x:c>
      <x:c r="B5" s="81" t="n">
        <x:f>S0_in*(1+A5)</x:f>
        <x:v>1.0464</x:v>
      </x:c>
      <x:c r="C5" s="86" t="n">
        <x:f>FC_AMT*B5</x:f>
        <x:v>8371200</x:v>
      </x:c>
      <x:c r="D5" s="86" t="n">
        <x:f>FC_AMT*F0_in</x:f>
        <x:v>8712000</x:v>
      </x:c>
      <x:c r="E5" s="86" t="n">
        <x:f>FC_AMT/(1+R_FC*T_DAYS/360)*S0_in*(1+R_USD*T_DAYS/360)</x:f>
        <x:v>8711533.980582524</x:v>
      </x:c>
      <x:c r="F5" s="86" t="n">
        <x:f>FC_AMT*MAX(K_PUT,B5)-FC_AMT*PREM_PUT*(1+R_USD*T_DAYS/360)</x:f>
        <x:v>8555360</x:v>
      </x:c>
      <x:c r="G5" s="86" t="n">
        <x:f>FC_AMT*B5+FC_AMT*MAX(B5-K_CALL,0)-FC_AMT*PREM_CALL*(1+R_USD*T_DAYS/360)</x:f>
        <x:v>8206560</x:v>
      </x:c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94" t="n">
        <x:v>-0.03</x:v>
      </x:c>
      <x:c r="B6" s="81" t="n">
        <x:f>S0_in*(1+A6)</x:f>
        <x:v>1.0573000000000001</x:v>
      </x:c>
      <x:c r="C6" s="86" t="n">
        <x:f>FC_AMT*B6</x:f>
        <x:v>8458400.000000002</x:v>
      </x:c>
      <x:c r="D6" s="86" t="n">
        <x:f>FC_AMT*F0_in</x:f>
        <x:v>8712000</x:v>
      </x:c>
      <x:c r="E6" s="86" t="n">
        <x:f>FC_AMT/(1+R_FC*T_DAYS/360)*S0_in*(1+R_USD*T_DAYS/360)</x:f>
        <x:v>8711533.980582524</x:v>
      </x:c>
      <x:c r="F6" s="86" t="n">
        <x:f>FC_AMT*MAX(K_PUT,B6)-FC_AMT*PREM_PUT*(1+R_USD*T_DAYS/360)</x:f>
        <x:v>8555360</x:v>
      </x:c>
      <x:c r="G6" s="86" t="n">
        <x:f>FC_AMT*B6+FC_AMT*MAX(B6-K_CALL,0)-FC_AMT*PREM_CALL*(1+R_USD*T_DAYS/360)</x:f>
        <x:v>8293760.000000002</x:v>
      </x:c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94" t="n">
        <x:v>-0.02</x:v>
      </x:c>
      <x:c r="B7" s="81" t="n">
        <x:f>S0_in*(1+A7)</x:f>
        <x:v>1.0682</x:v>
      </x:c>
      <x:c r="C7" s="86" t="n">
        <x:f>FC_AMT*B7</x:f>
        <x:v>8545600</x:v>
      </x:c>
      <x:c r="D7" s="86" t="n">
        <x:f>FC_AMT*F0_in</x:f>
        <x:v>8712000</x:v>
      </x:c>
      <x:c r="E7" s="86" t="n">
        <x:f>FC_AMT/(1+R_FC*T_DAYS/360)*S0_in*(1+R_USD*T_DAYS/360)</x:f>
        <x:v>8711533.980582524</x:v>
      </x:c>
      <x:c r="F7" s="86" t="n">
        <x:f>FC_AMT*MAX(K_PUT,B7)-FC_AMT*PREM_PUT*(1+R_USD*T_DAYS/360)</x:f>
        <x:v>8555360</x:v>
      </x:c>
      <x:c r="G7" s="86" t="n">
        <x:f>FC_AMT*B7+FC_AMT*MAX(B7-K_CALL,0)-FC_AMT*PREM_CALL*(1+R_USD*T_DAYS/360)</x:f>
        <x:v>8380960</x:v>
      </x:c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94" t="n">
        <x:v>-0.01</x:v>
      </x:c>
      <x:c r="B8" s="81" t="n">
        <x:f>S0_in*(1+A8)</x:f>
        <x:v>1.0791000000000002</x:v>
      </x:c>
      <x:c r="C8" s="86" t="n">
        <x:f>FC_AMT*B8</x:f>
        <x:v>8632800.000000002</x:v>
      </x:c>
      <x:c r="D8" s="86" t="n">
        <x:f>FC_AMT*F0_in</x:f>
        <x:v>8712000</x:v>
      </x:c>
      <x:c r="E8" s="86" t="n">
        <x:f>FC_AMT/(1+R_FC*T_DAYS/360)*S0_in*(1+R_USD*T_DAYS/360)</x:f>
        <x:v>8711533.980582524</x:v>
      </x:c>
      <x:c r="F8" s="86" t="n">
        <x:f>FC_AMT*MAX(K_PUT,B8)-FC_AMT*PREM_PUT*(1+R_USD*T_DAYS/360)</x:f>
        <x:v>8555360</x:v>
      </x:c>
      <x:c r="G8" s="86" t="n">
        <x:f>FC_AMT*B8+FC_AMT*MAX(B8-K_CALL,0)-FC_AMT*PREM_CALL*(1+R_USD*T_DAYS/360)</x:f>
        <x:v>8468160.000000002</x:v>
      </x:c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94" t="n">
        <x:v>0</x:v>
      </x:c>
      <x:c r="B9" s="81" t="n">
        <x:f>S0_in*(1+A9)</x:f>
        <x:v>1.09</x:v>
      </x:c>
      <x:c r="C9" s="86" t="n">
        <x:f>FC_AMT*B9</x:f>
        <x:v>8720000</x:v>
      </x:c>
      <x:c r="D9" s="86" t="n">
        <x:f>FC_AMT*F0_in</x:f>
        <x:v>8712000</x:v>
      </x:c>
      <x:c r="E9" s="86" t="n">
        <x:f>FC_AMT/(1+R_FC*T_DAYS/360)*S0_in*(1+R_USD*T_DAYS/360)</x:f>
        <x:v>8711533.980582524</x:v>
      </x:c>
      <x:c r="F9" s="86" t="n">
        <x:f>FC_AMT*MAX(K_PUT,B9)-FC_AMT*PREM_PUT*(1+R_USD*T_DAYS/360)</x:f>
        <x:v>8555360</x:v>
      </x:c>
      <x:c r="G9" s="86" t="n">
        <x:f>FC_AMT*B9+FC_AMT*MAX(B9-K_CALL,0)-FC_AMT*PREM_CALL*(1+R_USD*T_DAYS/360)</x:f>
        <x:v>8555360</x:v>
      </x:c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94" t="n">
        <x:v>0.01</x:v>
      </x:c>
      <x:c r="B10" s="81" t="n">
        <x:f>S0_in*(1+A10)</x:f>
        <x:v>1.1009</x:v>
      </x:c>
      <x:c r="C10" s="86" t="n">
        <x:f>FC_AMT*B10</x:f>
        <x:v>8807200</x:v>
      </x:c>
      <x:c r="D10" s="86" t="n">
        <x:f>FC_AMT*F0_in</x:f>
        <x:v>8712000</x:v>
      </x:c>
      <x:c r="E10" s="86" t="n">
        <x:f>FC_AMT/(1+R_FC*T_DAYS/360)*S0_in*(1+R_USD*T_DAYS/360)</x:f>
        <x:v>8711533.980582524</x:v>
      </x:c>
      <x:c r="F10" s="86" t="n">
        <x:f>FC_AMT*MAX(K_PUT,B10)-FC_AMT*PREM_PUT*(1+R_USD*T_DAYS/360)</x:f>
        <x:v>8642560</x:v>
      </x:c>
      <x:c r="G10" s="86" t="n">
        <x:f>FC_AMT*B10+FC_AMT*MAX(B10-K_CALL,0)-FC_AMT*PREM_CALL*(1+R_USD*T_DAYS/360)</x:f>
        <x:v>8729760</x:v>
      </x:c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94" t="n">
        <x:v>0.02</x:v>
      </x:c>
      <x:c r="B11" s="81" t="n">
        <x:f>S0_in*(1+A11)</x:f>
        <x:v>1.1118000000000001</x:v>
      </x:c>
      <x:c r="C11" s="86" t="n">
        <x:f>FC_AMT*B11</x:f>
        <x:v>8894400.000000002</x:v>
      </x:c>
      <x:c r="D11" s="86" t="n">
        <x:f>FC_AMT*F0_in</x:f>
        <x:v>8712000</x:v>
      </x:c>
      <x:c r="E11" s="86" t="n">
        <x:f>FC_AMT/(1+R_FC*T_DAYS/360)*S0_in*(1+R_USD*T_DAYS/360)</x:f>
        <x:v>8711533.980582524</x:v>
      </x:c>
      <x:c r="F11" s="86" t="n">
        <x:f>FC_AMT*MAX(K_PUT,B11)-FC_AMT*PREM_PUT*(1+R_USD*T_DAYS/360)</x:f>
        <x:v>8729760.000000002</x:v>
      </x:c>
      <x:c r="G11" s="86" t="n">
        <x:f>FC_AMT*B11+FC_AMT*MAX(B11-K_CALL,0)-FC_AMT*PREM_CALL*(1+R_USD*T_DAYS/360)</x:f>
        <x:v>8904160.000000002</x:v>
      </x:c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94" t="n">
        <x:v>0.03</x:v>
      </x:c>
      <x:c r="B12" s="81" t="n">
        <x:f>S0_in*(1+A12)</x:f>
        <x:v>1.1227</x:v>
      </x:c>
      <x:c r="C12" s="86" t="n">
        <x:f>FC_AMT*B12</x:f>
        <x:v>8981600</x:v>
      </x:c>
      <x:c r="D12" s="86" t="n">
        <x:f>FC_AMT*F0_in</x:f>
        <x:v>8712000</x:v>
      </x:c>
      <x:c r="E12" s="86" t="n">
        <x:f>FC_AMT/(1+R_FC*T_DAYS/360)*S0_in*(1+R_USD*T_DAYS/360)</x:f>
        <x:v>8711533.980582524</x:v>
      </x:c>
      <x:c r="F12" s="86" t="n">
        <x:f>FC_AMT*MAX(K_PUT,B12)-FC_AMT*PREM_PUT*(1+R_USD*T_DAYS/360)</x:f>
        <x:v>8816960</x:v>
      </x:c>
      <x:c r="G12" s="86" t="n">
        <x:f>FC_AMT*B12+FC_AMT*MAX(B12-K_CALL,0)-FC_AMT*PREM_CALL*(1+R_USD*T_DAYS/360)</x:f>
        <x:v>9078560</x:v>
      </x:c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94" t="n">
        <x:v>0.04</x:v>
      </x:c>
      <x:c r="B13" s="81" t="n">
        <x:f>S0_in*(1+A13)</x:f>
        <x:v>1.1336000000000002</x:v>
      </x:c>
      <x:c r="C13" s="86" t="n">
        <x:f>FC_AMT*B13</x:f>
        <x:v>9068800.000000002</x:v>
      </x:c>
      <x:c r="D13" s="86" t="n">
        <x:f>FC_AMT*F0_in</x:f>
        <x:v>8712000</x:v>
      </x:c>
      <x:c r="E13" s="86" t="n">
        <x:f>FC_AMT/(1+R_FC*T_DAYS/360)*S0_in*(1+R_USD*T_DAYS/360)</x:f>
        <x:v>8711533.980582524</x:v>
      </x:c>
      <x:c r="F13" s="86" t="n">
        <x:f>FC_AMT*MAX(K_PUT,B13)-FC_AMT*PREM_PUT*(1+R_USD*T_DAYS/360)</x:f>
        <x:v>8904160.000000002</x:v>
      </x:c>
      <x:c r="G13" s="86" t="n">
        <x:f>FC_AMT*B13+FC_AMT*MAX(B13-K_CALL,0)-FC_AMT*PREM_CALL*(1+R_USD*T_DAYS/360)</x:f>
        <x:v>9252960.000000002</x:v>
      </x:c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94" t="n">
        <x:v>0.05</x:v>
      </x:c>
      <x:c r="B14" s="81" t="n">
        <x:f>S0_in*(1+A14)</x:f>
        <x:v>1.1445</x:v>
      </x:c>
      <x:c r="C14" s="86" t="n">
        <x:f>FC_AMT*B14</x:f>
        <x:v>9156000</x:v>
      </x:c>
      <x:c r="D14" s="86" t="n">
        <x:f>FC_AMT*F0_in</x:f>
        <x:v>8712000</x:v>
      </x:c>
      <x:c r="E14" s="86" t="n">
        <x:f>FC_AMT/(1+R_FC*T_DAYS/360)*S0_in*(1+R_USD*T_DAYS/360)</x:f>
        <x:v>8711533.980582524</x:v>
      </x:c>
      <x:c r="F14" s="86" t="n">
        <x:f>FC_AMT*MAX(K_PUT,B14)-FC_AMT*PREM_PUT*(1+R_USD*T_DAYS/360)</x:f>
        <x:v>8991360</x:v>
      </x:c>
      <x:c r="G14" s="86" t="n">
        <x:f>FC_AMT*B14+FC_AMT*MAX(B14-K_CALL,0)-FC_AMT*PREM_CALL*(1+R_USD*T_DAYS/360)</x:f>
        <x:v>9427360</x:v>
      </x:c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93fcbb69d0364df0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</x:cols>
  <x:sheetData>
    <x:row r="1">
      <x:c r="A1" s="5" t="str">
        <x:v>Notes &amp; Assumptions</x:v>
      </x:c>
      <x:c r="B1" s="42"/>
      <x:c r="C1" s="5"/>
      <x:c r="D1" s="5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13" t="str">
        <x:v>#</x:v>
      </x:c>
      <x:c r="B3" s="13" t="str">
        <x:v>Assumption / Constraint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  <x:c r="Q3" s="60"/>
    </x:row>
    <x:row r="4">
      <x:c r="A4" s="60" t="n">
        <x:v>1</x:v>
      </x:c>
      <x:c r="B4" s="67" t="str">
        <x:v>Exchange rates are quoted as USD per EUR.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  <x:c r="Q4" s="60"/>
    </x:row>
    <x:row r="5">
      <x:c r="A5" s="60" t="n">
        <x:v>2</x:v>
      </x:c>
      <x:c r="B5" s="67" t="str">
        <x:v>FC_AMT is a EUR receivable; the key risk is EUR depreciation.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60" t="n">
        <x:v>3</x:v>
      </x:c>
      <x:c r="B6" s="67" t="str">
        <x:v>Interest uses simple interest with T_DAYS/360 (ACT/360-style convention).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</x:row>
    <x:row r="7">
      <x:c r="A7" s="60" t="n">
        <x:v>4</x:v>
      </x:c>
      <x:c r="B7" s="67" t="str">
        <x:v>Transaction costs, bid-ask spreads, taxes, credit risk, and counterparty default risk are ignored.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</x:row>
    <x:row r="8">
      <x:c r="A8" s="60" t="n">
        <x:v>5</x:v>
      </x:c>
      <x:c r="B8" s="67" t="str">
        <x:v>The full EUR 8,000,000 exposure is hedged under each strategy.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</x:row>
    <x:row r="9">
      <x:c r="A9" s="60" t="n">
        <x:v>6</x:v>
      </x:c>
      <x:c r="B9" s="67" t="str">
        <x:v>Forward contract is assumed to have no upfront premium.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</x:row>
    <x:row r="10">
      <x:c r="A10" s="60" t="n">
        <x:v>7</x:v>
      </x:c>
      <x:c r="B10" s="67" t="str">
        <x:v>Covered interest parity is used as the forward/MM consistency benchmark.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</x:row>
    <x:row r="11">
      <x:c r="A11" s="60" t="n">
        <x:v>8</x:v>
      </x:c>
      <x:c r="B11" s="67" t="str">
        <x:v>Option premiums are USD per EUR and are carried to maturity at R_USD for comparison.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</x:row>
    <x:row r="12">
      <x:c r="A12" s="60" t="n">
        <x:v>9</x:v>
      </x:c>
      <x:c r="B12" s="67" t="str">
        <x:v>Phase 2/3 market values are indicative placeholders unless identified as scenario-provided.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</x:row>
    <x:row r="13">
      <x:c r="A13" s="60" t="n">
        <x:v>10</x:v>
      </x:c>
      <x:c r="B13" s="67" t="str">
        <x:v>Phase 4 replaces S0_in, R_USD, R_FC, F0_in, K_PUT, and K_CALL with live/documented values.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</x:row>
    <x:row r="14">
      <x:c r="A14" s="60" t="n">
        <x:v>11</x:v>
      </x:c>
      <x:c r="B14" s="67" t="str">
        <x:v>PREM_PUT and PREM_CALL remain scenario assumptions in Phase 4.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</x:row>
    <x:row r="17">
      <x:c r="A17" s="61" t="str">
        <x:v>Phase 3 Validation Checklist</x:v>
      </x:c>
      <x:c r="B17" s="61"/>
      <x:c r="C17" s="61"/>
      <x:c r="D17" s="61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</x:row>
    <x:row r="18">
      <x:c r="A18" s="13" t="str">
        <x:v>Validation Rule</x:v>
      </x:c>
      <x:c r="B18" s="13" t="str">
        <x:v>Result</x:v>
      </x:c>
      <x:c r="C18" s="13" t="str">
        <x:v>Status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</x:row>
    <x:row r="19">
      <x:c r="A19" s="60" t="str">
        <x:v>Forward check figure</x:v>
      </x:c>
      <x:c r="B19" s="86" t="n">
        <x:f>FC_AMT*F0_in</x:f>
        <x:v>8712000</x:v>
      </x:c>
      <x:c r="C19" s="68" t="str">
        <x:f>IF(ABS(B19-8712000)&lt;1,"PASS","REVIEW")</x:f>
        <x:v>PASS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</x:row>
    <x:row r="20">
      <x:c r="A20" s="60" t="str">
        <x:v>CIP parity difference %</x:v>
      </x:c>
      <x:c r="B20" s="87" t="n">
        <x:f>ABS(F0_in-(S0_in*(1+R_USD*T_DAYS/360)/(1+R_FC*T_DAYS/360)))/F0_in</x:f>
        <x:v>0.000053491668672525106</x:v>
      </x:c>
      <x:c r="C20" s="68" t="str">
        <x:f>IF(B20&lt;=0.001,"PASS","REVIEW")</x:f>
        <x:v>PASS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</x:row>
    <x:row r="21">
      <x:c r="A21" s="60" t="str">
        <x:v>Forward vs. MM proceeds difference</x:v>
      </x:c>
      <x:c r="B21" s="86" t="n">
        <x:f>ABS(FC_AMT*F0_in-(FC_AMT/(1+R_FC*T_DAYS/360)*S0_in*(1+R_USD*T_DAYS/360)))</x:f>
        <x:v>466.019417475909</x:v>
      </x:c>
      <x:c r="C21" s="68" t="str">
        <x:f>IF(B21&lt;=1000,"PASS","REVIEW")</x:f>
        <x:v>PASS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</x:row>
    <x:row r="22">
      <x:c r="A22" s="60" t="str">
        <x:v>Put continuity at strike</x:v>
      </x:c>
      <x:c r="B22" s="86" t="n">
        <x:f>ABS(FC_AMT*MAX(K_PUT,K_PUT-0.000001)-FC_AMT*K_PUT)</x:f>
        <x:v>0</x:v>
      </x:c>
      <x:c r="C22" s="68" t="str">
        <x:f>IF(B22&lt;=10,"PASS","REVIEW")</x:f>
        <x:v>PASS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</x:row>
    <x:row r="23">
      <x:c r="A23" s="60" t="str">
        <x:v>Sensitivity row count</x:v>
      </x:c>
      <x:c r="B23" s="102" t="n">
        <x:f>COUNTA(Sensitivity!B4:B14)</x:f>
        <x:v>11</x:v>
      </x:c>
      <x:c r="C23" s="68" t="str">
        <x:f>IF(B23=11,"PASS","REVIEW")</x:f>
        <x:v>PASS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</x:row>
    <x:row r="24">
      <x:c r="A24" s="60" t="str">
        <x:v>Sensitivity lower bound</x:v>
      </x:c>
      <x:c r="B24" s="87" t="n">
        <x:f>MIN(Sensitivity!B4:B14)/S0_in</x:f>
        <x:v>0.95</x:v>
      </x:c>
      <x:c r="C24" s="68" t="str">
        <x:f>IF(ABS(B24-0.95)&lt;0.000001,"PASS","REVIEW")</x:f>
        <x:v>PASS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</x:row>
    <x:row r="25">
      <x:c r="A25" s="60" t="str">
        <x:v>Sensitivity upper bound</x:v>
      </x:c>
      <x:c r="B25" s="87" t="n">
        <x:f>MAX(Sensitivity!B4:B14)/S0_in</x:f>
        <x:v>1.05</x:v>
      </x:c>
      <x:c r="C25" s="68" t="str">
        <x:f>IF(ABS(B25-1.05)&lt;0.000001,"PASS","REVIEW")</x:f>
        <x:v>PASS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</x:sheetData>
  <x:mergeCells>
    <x:mergeCell ref="A1:D1"/>
    <x:mergeCell ref="A17:D17"/>
  </x:mergeCells>
  <x:pageMargins left="0.7" right="0.7" top="0.75" bottom="0.75" header="0.3" footer="0.3"/>
</x:worksheet>
</file>