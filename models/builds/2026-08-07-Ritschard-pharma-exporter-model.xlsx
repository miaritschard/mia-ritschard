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f13d6b152440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f22dbe3b10fe4c31"/>
    <x:sheet xmlns:r="http://schemas.openxmlformats.org/officeDocument/2006/relationships" name="Legend-Key" sheetId="2" r:id="Re83c82e6764c4c83"/>
    <x:sheet xmlns:r="http://schemas.openxmlformats.org/officeDocument/2006/relationships" name="Inputs" sheetId="3" r:id="Ra159a9cc96db4253"/>
    <x:sheet xmlns:r="http://schemas.openxmlformats.org/officeDocument/2006/relationships" name="Forward-Hedge" sheetId="4" r:id="R84a96c2fb9a149dc"/>
    <x:sheet xmlns:r="http://schemas.openxmlformats.org/officeDocument/2006/relationships" name="Money-Market-Hedge" sheetId="5" r:id="Rf7a17c825b9d4a1a"/>
    <x:sheet xmlns:r="http://schemas.openxmlformats.org/officeDocument/2006/relationships" name="Options-Hedge" sheetId="6" r:id="R6fe46327e2424236"/>
    <x:sheet xmlns:r="http://schemas.openxmlformats.org/officeDocument/2006/relationships" name="Sensitivity" sheetId="7" r:id="Radbc82e80f014320"/>
    <x:sheet xmlns:r="http://schemas.openxmlformats.org/officeDocument/2006/relationships" name="Notes-Assumptions" sheetId="8" r:id="R983f2b59ec6a4d79"/>
  </x:sheets>
  <x:definedNames>
    <x:definedName name="FC_AMT">Inputs!$B$4</x:definedName>
    <x:definedName name="S0_in">Inputs!$B$5</x:definedName>
    <x:definedName name="F0_in">Inputs!$B$6</x:definedName>
    <x:definedName name="R_USD">Inputs!$B$7</x:definedName>
    <x:definedName name="R_FC">Inputs!$B$8</x:definedName>
    <x:definedName name="K_PUT">Inputs!$B$9</x:definedName>
    <x:definedName name="K_CALL">Inputs!$B$10</x:definedName>
    <x:definedName name="PREM_PUT">Inputs!$B$11</x:definedName>
    <x:definedName name="PREM_CALL">Inputs!$B$12</x:definedName>
    <x:definedName name="T_DAYS">Inputs!$B$13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;[Red](#,##0);-"/>
    <x:numFmt numFmtId="201" formatCode="0.0000"/>
    <x:numFmt numFmtId="202" formatCode="0"/>
    <x:numFmt numFmtId="203" formatCode="$#,##0;[Red]($#,##0);-"/>
    <x:numFmt numFmtId="204" formatCode="0.0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B5D3B"/>
      </x:patternFill>
    </x:fill>
    <x:fill>
      <x:patternFill patternType="solid">
        <x:fgColor rgb="FFD9EAD3"/>
      </x:patternFill>
    </x:fill>
    <x:fill>
      <x:patternFill patternType="solid">
        <x:fgColor rgb="FF164E63"/>
      </x:patternFill>
    </x:fill>
    <x:fill>
      <x:patternFill patternType="solid">
        <x:fgColor rgb="FFFFF2CC"/>
      </x:patternFill>
    </x:fill>
    <x:fill>
      <x:patternFill patternType="solid">
        <x:fgColor rgb="FFCFE2F3"/>
      </x:patternFill>
    </x:fill>
    <x:fill>
      <x:patternFill patternType="solid">
        <x:fgColor rgb="FFD9D9D9"/>
      </x:patternFill>
    </x:fill>
  </x:fills>
  <x:borders count="2">
    <x:border/>
    <x:border/>
  </x:borders>
  <x:cellStyleXfs count="1">
    <x:xf numFmtId="0" fontId="0" fillId="0" borderId="0"/>
  </x:cellStyleXfs>
  <x:cellXfs count="10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0" fillId="7" borderId="1" xfId="0" applyNumberFormat="1" applyFont="1" applyFill="1" applyBorder="1"/>
    <x:xf numFmtId="0" fontId="2" fillId="7" borderId="1" xfId="0" applyNumberFormat="1" applyFont="1" applyFill="1" applyBorder="1"/>
    <x:xf numFmtId="200" fontId="0" fillId="5" borderId="0" xfId="0" applyNumberFormat="1" applyFont="1" applyFill="1" applyBorder="1"/>
    <x:xf numFmtId="200" fontId="0" fillId="5" borderId="1" xfId="0" applyNumberFormat="1" applyFont="1" applyFill="1" applyBorder="1"/>
    <x:xf numFmtId="201" fontId="0" fillId="5" borderId="0" xfId="0" applyNumberFormat="1" applyFont="1" applyFill="1" applyBorder="1"/>
    <x:xf numFmtId="201" fontId="0" fillId="5" borderId="1" xfId="0" applyNumberFormat="1" applyFont="1" applyFill="1" applyBorder="1"/>
    <x:xf numFmtId="202" fontId="0" fillId="5" borderId="0" xfId="0" applyNumberFormat="1" applyFont="1" applyFill="1" applyBorder="1"/>
    <x:xf numFmtId="202" fontId="0" fillId="5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200" fontId="0" fillId="3" borderId="0" xfId="0" applyNumberFormat="1" applyFont="1" applyFill="1" applyBorder="1"/>
    <x:xf numFmtId="200" fontId="0" fillId="3" borderId="1" xfId="0" applyNumberFormat="1" applyFont="1" applyFill="1" applyBorder="1"/>
    <x:xf numFmtId="201" fontId="0" fillId="3" borderId="0" xfId="0" applyNumberFormat="1" applyFont="1" applyFill="1" applyBorder="1"/>
    <x:xf numFmtId="201" fontId="0" fillId="3" borderId="1" xfId="0" applyNumberFormat="1" applyFont="1" applyFill="1" applyBorder="1"/>
    <x:xf numFmtId="203" fontId="2" fillId="7" borderId="0" xfId="0" applyNumberFormat="1" applyFont="1" applyFill="1" applyBorder="1"/>
    <x:xf numFmtId="203" fontId="2" fillId="7" borderId="1" xfId="0" applyNumberFormat="1" applyFont="1" applyFill="1" applyBorder="1"/>
    <x:xf numFmtId="203" fontId="0" fillId="3" borderId="0" xfId="0" applyNumberFormat="1" applyFont="1" applyFill="1" applyBorder="1"/>
    <x:xf numFmtId="203" fontId="0" fillId="3" borderId="1" xfId="0" applyNumberFormat="1" applyFont="1" applyFill="1" applyBorder="1"/>
    <x:xf numFmtId="204" fontId="0" fillId="3" borderId="0" xfId="0" applyNumberFormat="1" applyFont="1" applyFill="1" applyBorder="1"/>
    <x:xf numFmtId="204" fontId="0" fillId="6" borderId="0" xfId="0" applyNumberFormat="1" applyFont="1" applyFill="1" applyBorder="1"/>
    <x:xf numFmtId="204" fontId="0" fillId="3" borderId="1" xfId="0" applyNumberFormat="1" applyFont="1" applyFill="1" applyBorder="1"/>
    <x:xf numFmtId="204" fontId="0" fillId="6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horizontal="left"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 applyAlignment="1">
      <x:alignment vertical="center"/>
    </x:xf>
    <x:xf numFmtId="0" fontId="2" fillId="7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6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2" fillId="7" borderId="1" xfId="0" applyNumberFormat="1" applyFont="1" applyFill="1" applyBorder="1" applyAlignment="1">
      <x:alignment vertical="center"/>
    </x:xf>
    <x:xf numFmtId="200" fontId="0" fillId="5" borderId="0" xfId="0" applyNumberFormat="1" applyFont="1" applyFill="1" applyBorder="1" applyAlignment="1">
      <x:alignment vertical="center"/>
    </x:xf>
    <x:xf numFmtId="201" fontId="0" fillId="5" borderId="0" xfId="0" applyNumberFormat="1" applyFont="1" applyFill="1" applyBorder="1" applyAlignment="1">
      <x:alignment vertical="center"/>
    </x:xf>
    <x:xf numFmtId="202" fontId="0" fillId="5" borderId="0" xfId="0" applyNumberFormat="1" applyFont="1" applyFill="1" applyBorder="1" applyAlignment="1">
      <x:alignment vertical="center"/>
    </x:xf>
    <x:xf numFmtId="200" fontId="0" fillId="5" borderId="1" xfId="0" applyNumberFormat="1" applyFont="1" applyFill="1" applyBorder="1" applyAlignment="1">
      <x:alignment vertical="center"/>
    </x:xf>
    <x:xf numFmtId="201" fontId="0" fillId="5" borderId="1" xfId="0" applyNumberFormat="1" applyFont="1" applyFill="1" applyBorder="1" applyAlignment="1">
      <x:alignment vertical="center"/>
    </x:xf>
    <x:xf numFmtId="202" fontId="0" fillId="5" borderId="1" xfId="0" applyNumberFormat="1" applyFont="1" applyFill="1" applyBorder="1" applyAlignment="1">
      <x:alignment vertical="center"/>
    </x:xf>
    <x:xf numFmtId="200" fontId="0" fillId="3" borderId="0" xfId="0" applyNumberFormat="1" applyFont="1" applyFill="1" applyBorder="1" applyAlignment="1">
      <x:alignment vertical="center"/>
    </x:xf>
    <x:xf numFmtId="201" fontId="0" fillId="3" borderId="0" xfId="0" applyNumberFormat="1" applyFont="1" applyFill="1" applyBorder="1" applyAlignment="1">
      <x:alignment vertical="center"/>
    </x:xf>
    <x:xf numFmtId="203" fontId="2" fillId="7" borderId="0" xfId="0" applyNumberFormat="1" applyFont="1" applyFill="1" applyBorder="1" applyAlignment="1">
      <x:alignment vertical="center"/>
    </x:xf>
    <x:xf numFmtId="200" fontId="0" fillId="3" borderId="1" xfId="0" applyNumberFormat="1" applyFont="1" applyFill="1" applyBorder="1" applyAlignment="1">
      <x:alignment vertical="center"/>
    </x:xf>
    <x:xf numFmtId="201" fontId="0" fillId="3" borderId="1" xfId="0" applyNumberFormat="1" applyFont="1" applyFill="1" applyBorder="1" applyAlignment="1">
      <x:alignment vertical="center"/>
    </x:xf>
    <x:xf numFmtId="203" fontId="2" fillId="7" borderId="1" xfId="0" applyNumberFormat="1" applyFont="1" applyFill="1" applyBorder="1" applyAlignment="1">
      <x:alignment vertical="center"/>
    </x:xf>
    <x:xf numFmtId="203" fontId="0" fillId="3" borderId="0" xfId="0" applyNumberFormat="1" applyFont="1" applyFill="1" applyBorder="1" applyAlignment="1">
      <x:alignment vertical="center"/>
    </x:xf>
    <x:xf numFmtId="204" fontId="0" fillId="3" borderId="0" xfId="0" applyNumberFormat="1" applyFont="1" applyFill="1" applyBorder="1" applyAlignment="1">
      <x:alignment vertical="center"/>
    </x:xf>
    <x:xf numFmtId="204" fontId="0" fillId="6" borderId="0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/>
    </x:xf>
    <x:xf numFmtId="204" fontId="0" fillId="3" borderId="1" xfId="0" applyNumberFormat="1" applyFont="1" applyFill="1" applyBorder="1" applyAlignment="1">
      <x:alignment vertical="center"/>
    </x:xf>
    <x:xf numFmtId="204" fontId="0" fillId="6" borderId="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 applyAlignment="1">
      <x:alignment vertical="center"/>
    </x:xf>
    <x:xf numFmtId="204" fontId="0" fillId="0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202" fontId="0" fillId="3" borderId="0" xfId="0" applyNumberFormat="1" applyFont="1" applyFill="1" applyBorder="1" applyAlignment="1">
      <x:alignment vertical="center"/>
    </x:xf>
    <x:xf numFmtId="202" fontId="0" fillId="3" borderId="1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3c064850994f77" /><Relationship Type="http://schemas.openxmlformats.org/officeDocument/2006/relationships/theme" Target="/xl/theme/theme1.xml" Id="R8e9f1d2a120e42c0" /><Relationship Type="http://schemas.openxmlformats.org/officeDocument/2006/relationships/sharedStrings" Target="/xl/sharedStrings.xml" Id="Re124c2b07a9d40c1" /><Relationship Type="http://schemas.openxmlformats.org/officeDocument/2006/relationships/worksheet" Target="/xl/worksheets/sheet1.xml" Id="Rf22dbe3b10fe4c31" /><Relationship Type="http://schemas.openxmlformats.org/officeDocument/2006/relationships/worksheet" Target="/xl/worksheets/sheet2.xml" Id="Re83c82e6764c4c83" /><Relationship Type="http://schemas.openxmlformats.org/officeDocument/2006/relationships/worksheet" Target="/xl/worksheets/sheet3.xml" Id="Ra159a9cc96db4253" /><Relationship Type="http://schemas.openxmlformats.org/officeDocument/2006/relationships/worksheet" Target="/xl/worksheets/sheet4.xml" Id="R84a96c2fb9a149dc" /><Relationship Type="http://schemas.openxmlformats.org/officeDocument/2006/relationships/worksheet" Target="/xl/worksheets/sheet5.xml" Id="Rf7a17c825b9d4a1a" /><Relationship Type="http://schemas.openxmlformats.org/officeDocument/2006/relationships/worksheet" Target="/xl/worksheets/sheet6.xml" Id="R6fe46327e2424236" /><Relationship Type="http://schemas.openxmlformats.org/officeDocument/2006/relationships/worksheet" Target="/xl/worksheets/sheet7.xml" Id="Radbc82e80f014320" /><Relationship Type="http://schemas.openxmlformats.org/officeDocument/2006/relationships/worksheet" Target="/xl/worksheets/sheet8.xml" Id="R983f2b59ec6a4d7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d8df12f563240d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USD Proceeds by Hedge Strategy vs. Ending EURUSD Spot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Unhedged USD Proceeds</c:v>
          </c:tx>
          <c:marker>
            <c:symbol val="none"/>
          </c:marker>
          <c:cat>
            <c:strRef>
              <c:f>'Sensitivity'!$B$4:$B$14</c:f>
              <c:strCache>
                <c:ptCount val="0"/>
              </c:strCache>
            </c:strRef>
          </c:cat>
          <c:val>
            <c:numRef>
              <c:f>'Sensitivity'!$C$4:$C$14</c:f>
              <c:numCache>
                <c:formatCode>$#,##0;[Red]($#,##0);-</c:formatCode>
                <c:ptCount val="0"/>
              </c:numCache>
            </c:numRef>
          </c:val>
        </c:ser>
        <c:ser>
          <c:idx val="1"/>
          <c:order val="1"/>
          <c:tx>
            <c:v>Forward USD Proceeds</c:v>
          </c:tx>
          <c:marker>
            <c:symbol val="none"/>
          </c:marker>
          <c:cat>
            <c:strRef>
              <c:f>'Sensitivity'!$B$4:$B$14</c:f>
              <c:strCache>
                <c:ptCount val="0"/>
              </c:strCache>
            </c:strRef>
          </c:cat>
          <c:val>
            <c:numRef>
              <c:f>'Sensitivity'!$D$4:$D$14</c:f>
              <c:numCache>
                <c:formatCode>$#,##0;[Red]($#,##0);-</c:formatCode>
                <c:ptCount val="0"/>
              </c:numCache>
            </c:numRef>
          </c:val>
        </c:ser>
        <c:ser>
          <c:idx val="2"/>
          <c:order val="2"/>
          <c:tx>
            <c:v>Money-Market USD Proceeds</c:v>
          </c:tx>
          <c:marker>
            <c:symbol val="none"/>
          </c:marker>
          <c:cat>
            <c:strRef>
              <c:f>'Sensitivity'!$B$4:$B$14</c:f>
              <c:strCache>
                <c:ptCount val="0"/>
              </c:strCache>
            </c:strRef>
          </c:cat>
          <c:val>
            <c:numRef>
              <c:f>'Sensitivity'!$E$4:$E$14</c:f>
              <c:numCache>
                <c:formatCode>$#,##0;[Red]($#,##0);-</c:formatCode>
                <c:ptCount val="0"/>
              </c:numCache>
            </c:numRef>
          </c:val>
        </c:ser>
        <c:ser>
          <c:idx val="3"/>
          <c:order val="3"/>
          <c:tx>
            <c:v>Put Net USD Proceeds</c:v>
          </c:tx>
          <c:marker>
            <c:symbol val="none"/>
          </c:marker>
          <c:cat>
            <c:strRef>
              <c:f>'Sensitivity'!$B$4:$B$14</c:f>
              <c:strCache>
                <c:ptCount val="0"/>
              </c:strCache>
            </c:strRef>
          </c:cat>
          <c:val>
            <c:numRef>
              <c:f>'Sensitivity'!$F$4:$F$14</c:f>
              <c:numCache>
                <c:formatCode>$#,##0;[Red]($#,##0);-</c:formatCode>
                <c:ptCount val="0"/>
              </c:numCache>
            </c:numRef>
          </c:val>
        </c:ser>
        <c:ser>
          <c:idx val="4"/>
          <c:order val="4"/>
          <c:tx>
            <c:v>Call Net USD Proceeds</c:v>
          </c:tx>
          <c:marker>
            <c:symbol val="none"/>
          </c:marker>
          <c:cat>
            <c:strRef>
              <c:f>'Sensitivity'!$B$4:$B$14</c:f>
              <c:strCache>
                <c:ptCount val="0"/>
              </c:strCache>
            </c:strRef>
          </c:cat>
          <c:val>
            <c:numRef>
              <c:f>'Sensitivity'!$G$4:$G$14</c:f>
              <c:numCache>
                <c:formatCode>$#,##0;[Red]($#,##0);-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2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d8df12f563240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70018f567b0d4d95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5" t="str">
        <x:v>FX Hedging Model — U.S. Pharmaceutical Exporter</x:v>
      </x:c>
      <x:c r="B1" s="5"/>
      <x:c r="C1" s="5"/>
      <x:c r="D1" s="5"/>
      <x:c r="E1" s="5"/>
      <x:c r="F1" s="5"/>
      <x:c r="G1" s="60"/>
      <x:c r="H1" s="60"/>
      <x:c r="I1" s="60"/>
      <x:c r="J1" s="60"/>
      <x:c r="K1" s="60"/>
      <x:c r="L1" s="60"/>
      <x:c r="M1" s="60"/>
      <x:c r="N1" s="60"/>
      <x:c r="O1" s="60"/>
      <x:c r="P1" s="60"/>
      <x:c r="Q1" s="60"/>
    </x:row>
    <x:row r="2">
      <x:c r="A2" s="60"/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</x:row>
    <x:row r="3">
      <x:c r="A3" s="13" t="str">
        <x:v>Field</x:v>
      </x:c>
      <x:c r="B3" s="13" t="str">
        <x:v>Value</x:v>
      </x:c>
      <x:c r="C3" s="60"/>
      <x:c r="D3" s="60"/>
      <x:c r="E3" s="60"/>
      <x:c r="F3" s="60"/>
      <x:c r="G3" s="60"/>
      <x:c r="H3" s="60"/>
      <x:c r="I3" s="60"/>
      <x:c r="J3" s="60"/>
      <x:c r="K3" s="60"/>
      <x:c r="L3" s="60"/>
      <x:c r="M3" s="60"/>
      <x:c r="N3" s="60"/>
      <x:c r="O3" s="60"/>
      <x:c r="P3" s="60"/>
      <x:c r="Q3" s="60"/>
    </x:row>
    <x:row r="4">
      <x:c r="A4" s="60" t="str">
        <x:v>Author</x:v>
      </x:c>
      <x:c r="B4" s="60" t="str">
        <x:v>Amelia Ritschard</x:v>
      </x:c>
      <x:c r="C4" s="60"/>
      <x:c r="D4" s="60"/>
      <x:c r="E4" s="60"/>
      <x:c r="F4" s="60"/>
      <x:c r="G4" s="60"/>
      <x:c r="H4" s="60"/>
      <x:c r="I4" s="60"/>
      <x:c r="J4" s="60"/>
      <x:c r="K4" s="60"/>
      <x:c r="L4" s="60"/>
      <x:c r="M4" s="60"/>
      <x:c r="N4" s="60"/>
      <x:c r="O4" s="60"/>
      <x:c r="P4" s="60"/>
      <x:c r="Q4" s="60"/>
    </x:row>
    <x:row r="5">
      <x:c r="A5" s="60" t="str">
        <x:v>Course</x:v>
      </x:c>
      <x:c r="B5" s="60" t="str">
        <x:v>FIN 321 — International Business Finance, Sec. 701</x:v>
      </x:c>
      <x:c r="C5" s="60"/>
      <x:c r="D5" s="60"/>
      <x:c r="E5" s="60"/>
      <x:c r="F5" s="60"/>
      <x:c r="G5" s="60"/>
      <x:c r="H5" s="60"/>
      <x:c r="I5" s="60"/>
      <x:c r="J5" s="60"/>
      <x:c r="K5" s="60"/>
      <x:c r="L5" s="60"/>
      <x:c r="M5" s="60"/>
      <x:c r="N5" s="60"/>
      <x:c r="O5" s="60"/>
      <x:c r="P5" s="60"/>
      <x:c r="Q5" s="60"/>
    </x:row>
    <x:row r="6">
      <x:c r="A6" s="60" t="str">
        <x:v>Scenario</x:v>
      </x:c>
      <x:c r="B6" s="60" t="str">
        <x:v>U.S. Pharmaceutical Exporter</x:v>
      </x:c>
      <x:c r="C6" s="60"/>
      <x:c r="D6" s="60"/>
      <x:c r="E6" s="60"/>
      <x:c r="F6" s="60"/>
      <x:c r="G6" s="60"/>
      <x:c r="H6" s="60"/>
      <x:c r="I6" s="60"/>
      <x:c r="J6" s="60"/>
      <x:c r="K6" s="60"/>
      <x:c r="L6" s="60"/>
      <x:c r="M6" s="60"/>
      <x:c r="N6" s="60"/>
      <x:c r="O6" s="60"/>
      <x:c r="P6" s="60"/>
      <x:c r="Q6" s="60"/>
    </x:row>
    <x:row r="7">
      <x:c r="A7" s="60" t="str">
        <x:v>Scenario Slug</x:v>
      </x:c>
      <x:c r="B7" s="60" t="str">
        <x:v>pharma-exporter</x:v>
      </x:c>
      <x:c r="C7" s="60"/>
      <x:c r="D7" s="60"/>
      <x:c r="E7" s="60"/>
      <x:c r="F7" s="60"/>
      <x:c r="G7" s="60"/>
      <x:c r="H7" s="60"/>
      <x:c r="I7" s="60"/>
      <x:c r="J7" s="60"/>
      <x:c r="K7" s="60"/>
      <x:c r="L7" s="60"/>
      <x:c r="M7" s="60"/>
      <x:c r="N7" s="60"/>
      <x:c r="O7" s="60"/>
      <x:c r="P7" s="60"/>
      <x:c r="Q7" s="60"/>
    </x:row>
    <x:row r="8">
      <x:c r="A8" s="60" t="str">
        <x:v>Exposure</x:v>
      </x:c>
      <x:c r="B8" s="60" t="str">
        <x:v>EUR 8,000,000 receivable</x:v>
      </x:c>
      <x:c r="C8" s="60"/>
      <x:c r="D8" s="60"/>
      <x:c r="E8" s="60"/>
      <x:c r="F8" s="60"/>
      <x:c r="G8" s="60"/>
      <x:c r="H8" s="60"/>
      <x:c r="I8" s="60"/>
      <x:c r="J8" s="60"/>
      <x:c r="K8" s="60"/>
      <x:c r="L8" s="60"/>
      <x:c r="M8" s="60"/>
      <x:c r="N8" s="60"/>
      <x:c r="O8" s="60"/>
      <x:c r="P8" s="60"/>
      <x:c r="Q8" s="60"/>
    </x:row>
    <x:row r="9">
      <x:c r="A9" s="60" t="str">
        <x:v>Exposure Direction</x:v>
      </x:c>
      <x:c r="B9" s="60" t="str">
        <x:v>Receivable; risk is EUR depreciation vs. USD</x:v>
      </x:c>
      <x:c r="C9" s="60"/>
      <x:c r="D9" s="60"/>
      <x:c r="E9" s="60"/>
      <x:c r="F9" s="60"/>
      <x:c r="G9" s="60"/>
      <x:c r="H9" s="60"/>
      <x:c r="I9" s="60"/>
      <x:c r="J9" s="60"/>
      <x:c r="K9" s="60"/>
      <x:c r="L9" s="60"/>
      <x:c r="M9" s="60"/>
      <x:c r="N9" s="60"/>
      <x:c r="O9" s="60"/>
      <x:c r="P9" s="60"/>
      <x:c r="Q9" s="60"/>
    </x:row>
    <x:row r="10">
      <x:c r="A10" s="60" t="str">
        <x:v>Model Date</x:v>
      </x:c>
      <x:c r="B10" s="60" t="str">
        <x:v>August 7, 2026</x:v>
      </x:c>
      <x:c r="C10" s="60"/>
      <x:c r="D10" s="60"/>
      <x:c r="E10" s="60"/>
      <x:c r="F10" s="60"/>
      <x:c r="G10" s="60"/>
      <x:c r="H10" s="60"/>
      <x:c r="I10" s="60"/>
      <x:c r="J10" s="60"/>
      <x:c r="K10" s="60"/>
      <x:c r="L10" s="60"/>
      <x:c r="M10" s="60"/>
      <x:c r="N10" s="60"/>
      <x:c r="O10" s="60"/>
      <x:c r="P10" s="60"/>
      <x:c r="Q10" s="60"/>
    </x:row>
    <x:row r="11">
      <x:c r="A11" s="60"/>
      <x:c r="B11" s="60"/>
      <x:c r="C11" s="60"/>
      <x:c r="D11" s="60"/>
      <x:c r="E11" s="60"/>
      <x:c r="F11" s="60"/>
      <x:c r="G11" s="60"/>
      <x:c r="H11" s="60"/>
      <x:c r="I11" s="60"/>
      <x:c r="J11" s="60"/>
      <x:c r="K11" s="60"/>
      <x:c r="L11" s="60"/>
      <x:c r="M11" s="60"/>
      <x:c r="N11" s="60"/>
      <x:c r="O11" s="60"/>
      <x:c r="P11" s="60"/>
      <x:c r="Q11" s="60"/>
    </x:row>
    <x:row r="12">
      <x:c r="A12" s="61" t="str">
        <x:v>Data Provenance</x:v>
      </x:c>
      <x:c r="B12" s="61"/>
      <x:c r="C12" s="61"/>
      <x:c r="D12" s="61"/>
      <x:c r="E12" s="61"/>
      <x:c r="F12" s="61"/>
      <x:c r="G12" s="60"/>
      <x:c r="H12" s="60"/>
      <x:c r="I12" s="60"/>
      <x:c r="J12" s="60"/>
      <x:c r="K12" s="60"/>
      <x:c r="L12" s="60"/>
      <x:c r="M12" s="60"/>
      <x:c r="N12" s="60"/>
      <x:c r="O12" s="60"/>
      <x:c r="P12" s="60"/>
      <x:c r="Q12" s="60"/>
    </x:row>
    <x:row r="13">
      <x:c r="A13" s="62" t="str">
        <x:v>Phase 4 populated workbook. Market inputs S0_in, R_USD, R_FC, F0_in, K_PUT, and K_CALL have been updated from the documented Phase 4 market-data process. FC_AMT and T_DAYS remain scenario inputs; PREM_PUT and PREM_CALL remain modeling assumptions as directed.</x:v>
      </x:c>
      <x:c r="B13" s="62"/>
      <x:c r="C13" s="62"/>
      <x:c r="D13" s="62"/>
      <x:c r="E13" s="62"/>
      <x:c r="F13" s="62"/>
      <x:c r="G13" s="60"/>
      <x:c r="H13" s="60"/>
      <x:c r="I13" s="60"/>
      <x:c r="J13" s="60"/>
      <x:c r="K13" s="60"/>
      <x:c r="L13" s="60"/>
      <x:c r="M13" s="60"/>
      <x:c r="N13" s="60"/>
      <x:c r="O13" s="60"/>
      <x:c r="P13" s="60"/>
      <x:c r="Q13" s="60"/>
    </x:row>
    <x:row r="14">
      <x:c r="A14" s="62"/>
      <x:c r="B14" s="62"/>
      <x:c r="C14" s="62"/>
      <x:c r="D14" s="62"/>
      <x:c r="E14" s="62"/>
      <x:c r="F14" s="62"/>
      <x:c r="G14" s="60"/>
      <x:c r="H14" s="60"/>
      <x:c r="I14" s="60"/>
      <x:c r="J14" s="60"/>
      <x:c r="K14" s="60"/>
      <x:c r="L14" s="60"/>
      <x:c r="M14" s="60"/>
      <x:c r="N14" s="60"/>
      <x:c r="O14" s="60"/>
      <x:c r="P14" s="60"/>
      <x:c r="Q14" s="60"/>
    </x:row>
    <x:row r="15">
      <x:c r="A15" s="62"/>
      <x:c r="B15" s="62"/>
      <x:c r="C15" s="62"/>
      <x:c r="D15" s="62"/>
      <x:c r="E15" s="62"/>
      <x:c r="F15" s="62"/>
      <x:c r="G15" s="60"/>
      <x:c r="H15" s="60"/>
      <x:c r="I15" s="60"/>
      <x:c r="J15" s="60"/>
      <x:c r="K15" s="60"/>
      <x:c r="L15" s="60"/>
      <x:c r="M15" s="60"/>
      <x:c r="N15" s="60"/>
      <x:c r="O15" s="60"/>
      <x:c r="P15" s="60"/>
      <x:c r="Q15" s="60"/>
    </x:row>
    <x:row r="16">
      <x:c r="A16" s="62"/>
      <x:c r="B16" s="62"/>
      <x:c r="C16" s="62"/>
      <x:c r="D16" s="62"/>
      <x:c r="E16" s="62"/>
      <x:c r="F16" s="62"/>
      <x:c r="G16" s="60"/>
      <x:c r="H16" s="60"/>
      <x:c r="I16" s="60"/>
      <x:c r="J16" s="60"/>
      <x:c r="K16" s="60"/>
      <x:c r="L16" s="60"/>
      <x:c r="M16" s="60"/>
      <x:c r="N16" s="60"/>
      <x:c r="O16" s="60"/>
      <x:c r="P16" s="60"/>
      <x:c r="Q16" s="60"/>
    </x:row>
    <x:row r="17">
      <x:c r="A17" s="60"/>
      <x:c r="B17" s="60"/>
      <x:c r="C17" s="60"/>
      <x:c r="D17" s="60"/>
      <x:c r="E17" s="60"/>
      <x:c r="F17" s="60"/>
      <x:c r="G17" s="60"/>
      <x:c r="H17" s="60"/>
      <x:c r="I17" s="60"/>
      <x:c r="J17" s="60"/>
      <x:c r="K17" s="60"/>
      <x:c r="L17" s="60"/>
      <x:c r="M17" s="60"/>
      <x:c r="N17" s="60"/>
      <x:c r="O17" s="60"/>
      <x:c r="P17" s="60"/>
      <x:c r="Q17" s="60"/>
    </x:row>
    <x:row r="18">
      <x:c r="A18" s="60"/>
      <x:c r="B18" s="60"/>
      <x:c r="C18" s="60"/>
      <x:c r="D18" s="60"/>
      <x:c r="E18" s="60"/>
      <x:c r="F18" s="60"/>
      <x:c r="G18" s="60"/>
      <x:c r="H18" s="60"/>
      <x:c r="I18" s="60"/>
      <x:c r="J18" s="60"/>
      <x:c r="K18" s="60"/>
      <x:c r="L18" s="60"/>
      <x:c r="M18" s="60"/>
      <x:c r="N18" s="60"/>
      <x:c r="O18" s="60"/>
      <x:c r="P18" s="60"/>
      <x:c r="Q18" s="60"/>
    </x:row>
    <x:row r="19">
      <x:c r="A19" s="60"/>
      <x:c r="B19" s="60"/>
      <x:c r="C19" s="60"/>
      <x:c r="D19" s="60"/>
      <x:c r="E19" s="60"/>
      <x:c r="F19" s="60"/>
      <x:c r="G19" s="60"/>
      <x:c r="H19" s="60"/>
      <x:c r="I19" s="60"/>
      <x:c r="J19" s="60"/>
      <x:c r="K19" s="60"/>
      <x:c r="L19" s="60"/>
      <x:c r="M19" s="60"/>
      <x:c r="N19" s="60"/>
      <x:c r="O19" s="60"/>
      <x:c r="P19" s="60"/>
      <x:c r="Q19" s="60"/>
    </x:row>
    <x:row r="20">
      <x:c r="A20" s="60"/>
      <x:c r="B20" s="60"/>
      <x:c r="C20" s="60"/>
      <x:c r="D20" s="60"/>
      <x:c r="E20" s="60"/>
      <x:c r="F20" s="60"/>
      <x:c r="G20" s="60"/>
      <x:c r="H20" s="60"/>
      <x:c r="I20" s="60"/>
      <x:c r="J20" s="60"/>
      <x:c r="K20" s="60"/>
      <x:c r="L20" s="60"/>
      <x:c r="M20" s="60"/>
      <x:c r="N20" s="60"/>
      <x:c r="O20" s="60"/>
      <x:c r="P20" s="60"/>
      <x:c r="Q20" s="60"/>
    </x:row>
    <x:row r="21">
      <x:c r="A21" s="60"/>
      <x:c r="B21" s="60"/>
      <x:c r="C21" s="60"/>
      <x:c r="D21" s="60"/>
      <x:c r="E21" s="60"/>
      <x:c r="F21" s="60"/>
      <x:c r="G21" s="60"/>
      <x:c r="H21" s="60"/>
      <x:c r="I21" s="60"/>
      <x:c r="J21" s="60"/>
      <x:c r="K21" s="60"/>
      <x:c r="L21" s="60"/>
      <x:c r="M21" s="60"/>
      <x:c r="N21" s="60"/>
      <x:c r="O21" s="60"/>
      <x:c r="P21" s="60"/>
      <x:c r="Q21" s="60"/>
    </x:row>
    <x:row r="22">
      <x:c r="A22" s="60"/>
      <x:c r="B22" s="60"/>
      <x:c r="C22" s="60"/>
      <x:c r="D22" s="60"/>
      <x:c r="E22" s="60"/>
      <x:c r="F22" s="60"/>
      <x:c r="G22" s="60"/>
      <x:c r="H22" s="60"/>
      <x:c r="I22" s="60"/>
      <x:c r="J22" s="60"/>
      <x:c r="K22" s="60"/>
      <x:c r="L22" s="60"/>
      <x:c r="M22" s="60"/>
      <x:c r="N22" s="60"/>
      <x:c r="O22" s="60"/>
      <x:c r="P22" s="60"/>
      <x:c r="Q22" s="60"/>
    </x:row>
    <x:row r="23">
      <x:c r="A23" s="60"/>
      <x:c r="B23" s="60"/>
      <x:c r="C23" s="60"/>
      <x:c r="D23" s="60"/>
      <x:c r="E23" s="60"/>
      <x:c r="F23" s="60"/>
      <x:c r="G23" s="60"/>
      <x:c r="H23" s="60"/>
      <x:c r="I23" s="60"/>
      <x:c r="J23" s="60"/>
      <x:c r="K23" s="60"/>
      <x:c r="L23" s="60"/>
      <x:c r="M23" s="60"/>
      <x:c r="N23" s="60"/>
      <x:c r="O23" s="60"/>
      <x:c r="P23" s="60"/>
      <x:c r="Q23" s="60"/>
    </x:row>
    <x:row r="24">
      <x:c r="A24" s="60"/>
      <x:c r="B24" s="60"/>
      <x:c r="C24" s="60"/>
      <x:c r="D24" s="60"/>
      <x:c r="E24" s="60"/>
      <x:c r="F24" s="60"/>
      <x:c r="G24" s="60"/>
      <x:c r="H24" s="60"/>
      <x:c r="I24" s="60"/>
      <x:c r="J24" s="60"/>
      <x:c r="K24" s="60"/>
      <x:c r="L24" s="60"/>
      <x:c r="M24" s="60"/>
      <x:c r="N24" s="60"/>
      <x:c r="O24" s="60"/>
      <x:c r="P24" s="60"/>
      <x:c r="Q24" s="60"/>
    </x:row>
    <x:row r="25">
      <x:c r="A25" s="60"/>
      <x:c r="B25" s="60"/>
      <x:c r="C25" s="60"/>
      <x:c r="D25" s="60"/>
      <x:c r="E25" s="60"/>
      <x:c r="F25" s="60"/>
      <x:c r="G25" s="60"/>
      <x:c r="H25" s="60"/>
      <x:c r="I25" s="60"/>
      <x:c r="J25" s="60"/>
      <x:c r="K25" s="60"/>
      <x:c r="L25" s="60"/>
      <x:c r="M25" s="60"/>
      <x:c r="N25" s="60"/>
      <x:c r="O25" s="60"/>
      <x:c r="P25" s="60"/>
      <x:c r="Q25" s="60"/>
    </x:row>
    <x:row r="26">
      <x:c r="A26" s="60"/>
      <x:c r="B26" s="60"/>
      <x:c r="C26" s="60"/>
      <x:c r="D26" s="60"/>
      <x:c r="E26" s="60"/>
      <x:c r="F26" s="60"/>
      <x:c r="G26" s="60"/>
      <x:c r="H26" s="60"/>
      <x:c r="I26" s="60"/>
      <x:c r="J26" s="60"/>
      <x:c r="K26" s="60"/>
      <x:c r="L26" s="60"/>
      <x:c r="M26" s="60"/>
      <x:c r="N26" s="60"/>
      <x:c r="O26" s="60"/>
      <x:c r="P26" s="60"/>
      <x:c r="Q26" s="60"/>
    </x:row>
    <x:row r="27">
      <x:c r="A27" s="60"/>
      <x:c r="B27" s="60"/>
      <x:c r="C27" s="60"/>
      <x:c r="D27" s="60"/>
      <x:c r="E27" s="60"/>
      <x:c r="F27" s="60"/>
      <x:c r="G27" s="60"/>
      <x:c r="H27" s="60"/>
      <x:c r="I27" s="60"/>
      <x:c r="J27" s="60"/>
      <x:c r="K27" s="60"/>
      <x:c r="L27" s="60"/>
      <x:c r="M27" s="60"/>
      <x:c r="N27" s="60"/>
      <x:c r="O27" s="60"/>
      <x:c r="P27" s="60"/>
      <x:c r="Q27" s="60"/>
    </x:row>
    <x:row r="28">
      <x:c r="A28" s="60"/>
      <x:c r="B28" s="60"/>
      <x:c r="C28" s="60"/>
      <x:c r="D28" s="60"/>
      <x:c r="E28" s="60"/>
      <x:c r="F28" s="60"/>
      <x:c r="G28" s="60"/>
      <x:c r="H28" s="60"/>
      <x:c r="I28" s="60"/>
      <x:c r="J28" s="60"/>
      <x:c r="K28" s="60"/>
      <x:c r="L28" s="60"/>
      <x:c r="M28" s="60"/>
      <x:c r="N28" s="60"/>
      <x:c r="O28" s="60"/>
      <x:c r="P28" s="60"/>
      <x:c r="Q28" s="60"/>
    </x:row>
    <x:row r="29">
      <x:c r="A29" s="60"/>
      <x:c r="B29" s="60"/>
      <x:c r="C29" s="60"/>
      <x:c r="D29" s="60"/>
      <x:c r="E29" s="60"/>
      <x:c r="F29" s="60"/>
      <x:c r="G29" s="60"/>
      <x:c r="H29" s="60"/>
      <x:c r="I29" s="60"/>
      <x:c r="J29" s="60"/>
      <x:c r="K29" s="60"/>
      <x:c r="L29" s="60"/>
      <x:c r="M29" s="60"/>
      <x:c r="N29" s="60"/>
      <x:c r="O29" s="60"/>
      <x:c r="P29" s="60"/>
      <x:c r="Q29" s="60"/>
    </x:row>
    <x:row r="30">
      <x:c r="A30" s="60"/>
      <x:c r="B30" s="60"/>
      <x:c r="C30" s="60"/>
      <x:c r="D30" s="60"/>
      <x:c r="E30" s="60"/>
      <x:c r="F30" s="60"/>
      <x:c r="G30" s="60"/>
      <x:c r="H30" s="60"/>
      <x:c r="I30" s="60"/>
      <x:c r="J30" s="60"/>
      <x:c r="K30" s="60"/>
      <x:c r="L30" s="60"/>
      <x:c r="M30" s="60"/>
      <x:c r="N30" s="60"/>
      <x:c r="O30" s="60"/>
      <x:c r="P30" s="60"/>
      <x:c r="Q30" s="60"/>
    </x:row>
  </x:sheetData>
  <x:mergeCells>
    <x:mergeCell ref="A1:F1"/>
    <x:mergeCell ref="A12:F12"/>
    <x:mergeCell ref="A13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2" hidden="0" customWidth="1"/>
  </x:cols>
  <x:sheetData>
    <x:row r="1">
      <x:c r="A1" s="5" t="str">
        <x:v>Legend / Key</x:v>
      </x:c>
      <x:c r="B1" s="5"/>
      <x:c r="C1" s="5"/>
      <x:c r="D1" s="5"/>
      <x:c r="E1" s="60"/>
      <x:c r="F1" s="60"/>
      <x:c r="G1" s="60"/>
      <x:c r="H1" s="60"/>
      <x:c r="I1" s="60"/>
      <x:c r="J1" s="60"/>
      <x:c r="K1" s="60"/>
      <x:c r="L1" s="60"/>
      <x:c r="M1" s="60"/>
      <x:c r="N1" s="60"/>
      <x:c r="O1" s="60"/>
      <x:c r="P1" s="60"/>
      <x:c r="Q1" s="60"/>
    </x:row>
    <x:row r="2">
      <x:c r="A2" s="60"/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</x:row>
    <x:row r="3">
      <x:c r="A3" s="13" t="str">
        <x:v>Color</x:v>
      </x:c>
      <x:c r="B3" s="13" t="str">
        <x:v>Meaning</x:v>
      </x:c>
      <x:c r="C3" s="60"/>
      <x:c r="D3" s="60"/>
      <x:c r="E3" s="60"/>
      <x:c r="F3" s="60"/>
      <x:c r="G3" s="60"/>
      <x:c r="H3" s="60"/>
      <x:c r="I3" s="60"/>
      <x:c r="J3" s="60"/>
      <x:c r="K3" s="60"/>
      <x:c r="L3" s="60"/>
      <x:c r="M3" s="60"/>
      <x:c r="N3" s="60"/>
      <x:c r="O3" s="60"/>
      <x:c r="P3" s="60"/>
      <x:c r="Q3" s="60"/>
    </x:row>
    <x:row r="4">
      <x:c r="A4" s="66" t="str">
        <x:v>Yellow</x:v>
      </x:c>
      <x:c r="B4" s="66" t="str">
        <x:v>Inputs / user-editable market data</x:v>
      </x:c>
      <x:c r="C4" s="60"/>
      <x:c r="D4" s="60"/>
      <x:c r="E4" s="60"/>
      <x:c r="F4" s="60"/>
      <x:c r="G4" s="60"/>
      <x:c r="H4" s="60"/>
      <x:c r="I4" s="60"/>
      <x:c r="J4" s="60"/>
      <x:c r="K4" s="60"/>
      <x:c r="L4" s="60"/>
      <x:c r="M4" s="60"/>
      <x:c r="N4" s="60"/>
      <x:c r="O4" s="60"/>
      <x:c r="P4" s="60"/>
      <x:c r="Q4" s="60"/>
    </x:row>
    <x:row r="5">
      <x:c r="A5" s="67" t="str">
        <x:v>Blue</x:v>
      </x:c>
      <x:c r="B5" s="67" t="str">
        <x:v>Assumptions / conventions</x:v>
      </x:c>
      <x:c r="C5" s="60"/>
      <x:c r="D5" s="60"/>
      <x:c r="E5" s="60"/>
      <x:c r="F5" s="60"/>
      <x:c r="G5" s="60"/>
      <x:c r="H5" s="60"/>
      <x:c r="I5" s="60"/>
      <x:c r="J5" s="60"/>
      <x:c r="K5" s="60"/>
      <x:c r="L5" s="60"/>
      <x:c r="M5" s="60"/>
      <x:c r="N5" s="60"/>
      <x:c r="O5" s="60"/>
      <x:c r="P5" s="60"/>
      <x:c r="Q5" s="60"/>
    </x:row>
    <x:row r="6">
      <x:c r="A6" s="68" t="str">
        <x:v>Green</x:v>
      </x:c>
      <x:c r="B6" s="68" t="str">
        <x:v>Formulas / calculated cells</x:v>
      </x:c>
      <x:c r="C6" s="60"/>
      <x:c r="D6" s="60"/>
      <x:c r="E6" s="60"/>
      <x:c r="F6" s="60"/>
      <x:c r="G6" s="60"/>
      <x:c r="H6" s="60"/>
      <x:c r="I6" s="60"/>
      <x:c r="J6" s="60"/>
      <x:c r="K6" s="60"/>
      <x:c r="L6" s="60"/>
      <x:c r="M6" s="60"/>
      <x:c r="N6" s="60"/>
      <x:c r="O6" s="60"/>
      <x:c r="P6" s="60"/>
      <x:c r="Q6" s="60"/>
    </x:row>
    <x:row r="7">
      <x:c r="A7" s="69" t="str">
        <x:v>Gray</x:v>
      </x:c>
      <x:c r="B7" s="69" t="str">
        <x:v>Outputs / summary results</x:v>
      </x:c>
      <x:c r="C7" s="60"/>
      <x:c r="D7" s="60"/>
      <x:c r="E7" s="60"/>
      <x:c r="F7" s="60"/>
      <x:c r="G7" s="60"/>
      <x:c r="H7" s="60"/>
      <x:c r="I7" s="60"/>
      <x:c r="J7" s="60"/>
      <x:c r="K7" s="60"/>
      <x:c r="L7" s="60"/>
      <x:c r="M7" s="60"/>
      <x:c r="N7" s="60"/>
      <x:c r="O7" s="60"/>
      <x:c r="P7" s="60"/>
      <x:c r="Q7" s="60"/>
    </x:row>
    <x:row r="8">
      <x:c r="A8" s="60"/>
      <x:c r="B8" s="60"/>
      <x:c r="C8" s="60"/>
      <x:c r="D8" s="60"/>
      <x:c r="E8" s="60"/>
      <x:c r="F8" s="60"/>
      <x:c r="G8" s="60"/>
      <x:c r="H8" s="60"/>
      <x:c r="I8" s="60"/>
      <x:c r="J8" s="60"/>
      <x:c r="K8" s="60"/>
      <x:c r="L8" s="60"/>
      <x:c r="M8" s="60"/>
      <x:c r="N8" s="60"/>
      <x:c r="O8" s="60"/>
      <x:c r="P8" s="60"/>
      <x:c r="Q8" s="60"/>
    </x:row>
    <x:row r="9">
      <x:c r="A9" s="13" t="str">
        <x:v>Notation</x:v>
      </x:c>
      <x:c r="B9" s="13" t="str">
        <x:v>Definition</x:v>
      </x:c>
      <x:c r="C9" s="60"/>
      <x:c r="D9" s="60"/>
      <x:c r="E9" s="60"/>
      <x:c r="F9" s="60"/>
      <x:c r="G9" s="60"/>
      <x:c r="H9" s="60"/>
      <x:c r="I9" s="60"/>
      <x:c r="J9" s="60"/>
      <x:c r="K9" s="60"/>
      <x:c r="L9" s="60"/>
      <x:c r="M9" s="60"/>
      <x:c r="N9" s="60"/>
      <x:c r="O9" s="60"/>
      <x:c r="P9" s="60"/>
      <x:c r="Q9" s="60"/>
    </x:row>
    <x:row r="10">
      <x:c r="A10" s="60" t="str">
        <x:v>S0</x:v>
      </x:c>
      <x:c r="B10" s="60" t="str">
        <x:v>Current EURUSD spot rate (USD per EUR)</x:v>
      </x:c>
      <x:c r="C10" s="60"/>
      <x:c r="D10" s="60"/>
      <x:c r="E10" s="60"/>
      <x:c r="F10" s="60"/>
      <x:c r="G10" s="60"/>
      <x:c r="H10" s="60"/>
      <x:c r="I10" s="60"/>
      <x:c r="J10" s="60"/>
      <x:c r="K10" s="60"/>
      <x:c r="L10" s="60"/>
      <x:c r="M10" s="60"/>
      <x:c r="N10" s="60"/>
      <x:c r="O10" s="60"/>
      <x:c r="P10" s="60"/>
      <x:c r="Q10" s="60"/>
    </x:row>
    <x:row r="11">
      <x:c r="A11" s="60" t="str">
        <x:v>S_T</x:v>
      </x:c>
      <x:c r="B11" s="60" t="str">
        <x:v>Ending EURUSD spot rate at hedge maturity</x:v>
      </x:c>
      <x:c r="C11" s="60"/>
      <x:c r="D11" s="60"/>
      <x:c r="E11" s="60"/>
      <x:c r="F11" s="60"/>
      <x:c r="G11" s="60"/>
      <x:c r="H11" s="60"/>
      <x:c r="I11" s="60"/>
      <x:c r="J11" s="60"/>
      <x:c r="K11" s="60"/>
      <x:c r="L11" s="60"/>
      <x:c r="M11" s="60"/>
      <x:c r="N11" s="60"/>
      <x:c r="O11" s="60"/>
      <x:c r="P11" s="60"/>
      <x:c r="Q11" s="60"/>
    </x:row>
    <x:row r="12">
      <x:c r="A12" s="60" t="str">
        <x:v>FC</x:v>
      </x:c>
      <x:c r="B12" s="60" t="str">
        <x:v>Foreign currency (EUR)</x:v>
      </x:c>
      <x:c r="C12" s="60"/>
      <x:c r="D12" s="60"/>
      <x:c r="E12" s="60"/>
      <x:c r="F12" s="60"/>
      <x:c r="G12" s="60"/>
      <x:c r="H12" s="60"/>
      <x:c r="I12" s="60"/>
      <x:c r="J12" s="60"/>
      <x:c r="K12" s="60"/>
      <x:c r="L12" s="60"/>
      <x:c r="M12" s="60"/>
      <x:c r="N12" s="60"/>
      <x:c r="O12" s="60"/>
      <x:c r="P12" s="60"/>
      <x:c r="Q12" s="60"/>
    </x:row>
    <x:row r="13">
      <x:c r="A13" s="60"/>
      <x:c r="B13" s="60"/>
      <x:c r="C13" s="60"/>
      <x:c r="D13" s="60"/>
      <x:c r="E13" s="60"/>
      <x:c r="F13" s="60"/>
      <x:c r="G13" s="60"/>
      <x:c r="H13" s="60"/>
      <x:c r="I13" s="60"/>
      <x:c r="J13" s="60"/>
      <x:c r="K13" s="60"/>
      <x:c r="L13" s="60"/>
      <x:c r="M13" s="60"/>
      <x:c r="N13" s="60"/>
      <x:c r="O13" s="60"/>
      <x:c r="P13" s="60"/>
      <x:c r="Q13" s="60"/>
    </x:row>
    <x:row r="14">
      <x:c r="A14" s="60"/>
      <x:c r="B14" s="60"/>
      <x:c r="C14" s="60"/>
      <x:c r="D14" s="60"/>
      <x:c r="E14" s="60"/>
      <x:c r="F14" s="60"/>
      <x:c r="G14" s="60"/>
      <x:c r="H14" s="60"/>
      <x:c r="I14" s="60"/>
      <x:c r="J14" s="60"/>
      <x:c r="K14" s="60"/>
      <x:c r="L14" s="60"/>
      <x:c r="M14" s="60"/>
      <x:c r="N14" s="60"/>
      <x:c r="O14" s="60"/>
      <x:c r="P14" s="60"/>
      <x:c r="Q14" s="60"/>
    </x:row>
    <x:row r="15">
      <x:c r="A15" s="60"/>
      <x:c r="B15" s="60"/>
      <x:c r="C15" s="60"/>
      <x:c r="D15" s="60"/>
      <x:c r="E15" s="60"/>
      <x:c r="F15" s="60"/>
      <x:c r="G15" s="60"/>
      <x:c r="H15" s="60"/>
      <x:c r="I15" s="60"/>
      <x:c r="J15" s="60"/>
      <x:c r="K15" s="60"/>
      <x:c r="L15" s="60"/>
      <x:c r="M15" s="60"/>
      <x:c r="N15" s="60"/>
      <x:c r="O15" s="60"/>
      <x:c r="P15" s="60"/>
      <x:c r="Q15" s="60"/>
    </x:row>
    <x:row r="16">
      <x:c r="A16" s="60"/>
      <x:c r="B16" s="60"/>
      <x:c r="C16" s="60"/>
      <x:c r="D16" s="60"/>
      <x:c r="E16" s="60"/>
      <x:c r="F16" s="60"/>
      <x:c r="G16" s="60"/>
      <x:c r="H16" s="60"/>
      <x:c r="I16" s="60"/>
      <x:c r="J16" s="60"/>
      <x:c r="K16" s="60"/>
      <x:c r="L16" s="60"/>
      <x:c r="M16" s="60"/>
      <x:c r="N16" s="60"/>
      <x:c r="O16" s="60"/>
      <x:c r="P16" s="60"/>
      <x:c r="Q16" s="60"/>
    </x:row>
    <x:row r="17">
      <x:c r="A17" s="60"/>
      <x:c r="B17" s="60"/>
      <x:c r="C17" s="60"/>
      <x:c r="D17" s="60"/>
      <x:c r="E17" s="60"/>
      <x:c r="F17" s="60"/>
      <x:c r="G17" s="60"/>
      <x:c r="H17" s="60"/>
      <x:c r="I17" s="60"/>
      <x:c r="J17" s="60"/>
      <x:c r="K17" s="60"/>
      <x:c r="L17" s="60"/>
      <x:c r="M17" s="60"/>
      <x:c r="N17" s="60"/>
      <x:c r="O17" s="60"/>
      <x:c r="P17" s="60"/>
      <x:c r="Q17" s="60"/>
    </x:row>
    <x:row r="18">
      <x:c r="A18" s="60"/>
      <x:c r="B18" s="60"/>
      <x:c r="C18" s="60"/>
      <x:c r="D18" s="60"/>
      <x:c r="E18" s="60"/>
      <x:c r="F18" s="60"/>
      <x:c r="G18" s="60"/>
      <x:c r="H18" s="60"/>
      <x:c r="I18" s="60"/>
      <x:c r="J18" s="60"/>
      <x:c r="K18" s="60"/>
      <x:c r="L18" s="60"/>
      <x:c r="M18" s="60"/>
      <x:c r="N18" s="60"/>
      <x:c r="O18" s="60"/>
      <x:c r="P18" s="60"/>
      <x:c r="Q18" s="60"/>
    </x:row>
    <x:row r="19">
      <x:c r="A19" s="60"/>
      <x:c r="B19" s="60"/>
      <x:c r="C19" s="60"/>
      <x:c r="D19" s="60"/>
      <x:c r="E19" s="60"/>
      <x:c r="F19" s="60"/>
      <x:c r="G19" s="60"/>
      <x:c r="H19" s="60"/>
      <x:c r="I19" s="60"/>
      <x:c r="J19" s="60"/>
      <x:c r="K19" s="60"/>
      <x:c r="L19" s="60"/>
      <x:c r="M19" s="60"/>
      <x:c r="N19" s="60"/>
      <x:c r="O19" s="60"/>
      <x:c r="P19" s="60"/>
      <x:c r="Q19" s="60"/>
    </x:row>
    <x:row r="20">
      <x:c r="A20" s="60"/>
      <x:c r="B20" s="60"/>
      <x:c r="C20" s="60"/>
      <x:c r="D20" s="60"/>
      <x:c r="E20" s="60"/>
      <x:c r="F20" s="60"/>
      <x:c r="G20" s="60"/>
      <x:c r="H20" s="60"/>
      <x:c r="I20" s="60"/>
      <x:c r="J20" s="60"/>
      <x:c r="K20" s="60"/>
      <x:c r="L20" s="60"/>
      <x:c r="M20" s="60"/>
      <x:c r="N20" s="60"/>
      <x:c r="O20" s="60"/>
      <x:c r="P20" s="60"/>
      <x:c r="Q20" s="60"/>
    </x:row>
    <x:row r="21">
      <x:c r="A21" s="60"/>
      <x:c r="B21" s="60"/>
      <x:c r="C21" s="60"/>
      <x:c r="D21" s="60"/>
      <x:c r="E21" s="60"/>
      <x:c r="F21" s="60"/>
      <x:c r="G21" s="60"/>
      <x:c r="H21" s="60"/>
      <x:c r="I21" s="60"/>
      <x:c r="J21" s="60"/>
      <x:c r="K21" s="60"/>
      <x:c r="L21" s="60"/>
      <x:c r="M21" s="60"/>
      <x:c r="N21" s="60"/>
      <x:c r="O21" s="60"/>
      <x:c r="P21" s="60"/>
      <x:c r="Q21" s="60"/>
    </x:row>
    <x:row r="22">
      <x:c r="A22" s="60"/>
      <x:c r="B22" s="60"/>
      <x:c r="C22" s="60"/>
      <x:c r="D22" s="60"/>
      <x:c r="E22" s="60"/>
      <x:c r="F22" s="60"/>
      <x:c r="G22" s="60"/>
      <x:c r="H22" s="60"/>
      <x:c r="I22" s="60"/>
      <x:c r="J22" s="60"/>
      <x:c r="K22" s="60"/>
      <x:c r="L22" s="60"/>
      <x:c r="M22" s="60"/>
      <x:c r="N22" s="60"/>
      <x:c r="O22" s="60"/>
      <x:c r="P22" s="60"/>
      <x:c r="Q22" s="60"/>
    </x:row>
    <x:row r="23">
      <x:c r="A23" s="60"/>
      <x:c r="B23" s="60"/>
      <x:c r="C23" s="60"/>
      <x:c r="D23" s="60"/>
      <x:c r="E23" s="60"/>
      <x:c r="F23" s="60"/>
      <x:c r="G23" s="60"/>
      <x:c r="H23" s="60"/>
      <x:c r="I23" s="60"/>
      <x:c r="J23" s="60"/>
      <x:c r="K23" s="60"/>
      <x:c r="L23" s="60"/>
      <x:c r="M23" s="60"/>
      <x:c r="N23" s="60"/>
      <x:c r="O23" s="60"/>
      <x:c r="P23" s="60"/>
      <x:c r="Q23" s="60"/>
    </x:row>
    <x:row r="24">
      <x:c r="A24" s="60"/>
      <x:c r="B24" s="60"/>
      <x:c r="C24" s="60"/>
      <x:c r="D24" s="60"/>
      <x:c r="E24" s="60"/>
      <x:c r="F24" s="60"/>
      <x:c r="G24" s="60"/>
      <x:c r="H24" s="60"/>
      <x:c r="I24" s="60"/>
      <x:c r="J24" s="60"/>
      <x:c r="K24" s="60"/>
      <x:c r="L24" s="60"/>
      <x:c r="M24" s="60"/>
      <x:c r="N24" s="60"/>
      <x:c r="O24" s="60"/>
      <x:c r="P24" s="60"/>
      <x:c r="Q24" s="60"/>
    </x:row>
    <x:row r="25">
      <x:c r="A25" s="60"/>
      <x:c r="B25" s="60"/>
      <x:c r="C25" s="60"/>
      <x:c r="D25" s="60"/>
      <x:c r="E25" s="60"/>
      <x:c r="F25" s="60"/>
      <x:c r="G25" s="60"/>
      <x:c r="H25" s="60"/>
      <x:c r="I25" s="60"/>
      <x:c r="J25" s="60"/>
      <x:c r="K25" s="60"/>
      <x:c r="L25" s="60"/>
      <x:c r="M25" s="60"/>
      <x:c r="N25" s="60"/>
      <x:c r="O25" s="60"/>
      <x:c r="P25" s="60"/>
      <x:c r="Q25" s="60"/>
    </x:row>
    <x:row r="26">
      <x:c r="A26" s="60"/>
      <x:c r="B26" s="60"/>
      <x:c r="C26" s="60"/>
      <x:c r="D26" s="60"/>
      <x:c r="E26" s="60"/>
      <x:c r="F26" s="60"/>
      <x:c r="G26" s="60"/>
      <x:c r="H26" s="60"/>
      <x:c r="I26" s="60"/>
      <x:c r="J26" s="60"/>
      <x:c r="K26" s="60"/>
      <x:c r="L26" s="60"/>
      <x:c r="M26" s="60"/>
      <x:c r="N26" s="60"/>
      <x:c r="O26" s="60"/>
      <x:c r="P26" s="60"/>
      <x:c r="Q26" s="60"/>
    </x:row>
    <x:row r="27">
      <x:c r="A27" s="60"/>
      <x:c r="B27" s="60"/>
      <x:c r="C27" s="60"/>
      <x:c r="D27" s="60"/>
      <x:c r="E27" s="60"/>
      <x:c r="F27" s="60"/>
      <x:c r="G27" s="60"/>
      <x:c r="H27" s="60"/>
      <x:c r="I27" s="60"/>
      <x:c r="J27" s="60"/>
      <x:c r="K27" s="60"/>
      <x:c r="L27" s="60"/>
      <x:c r="M27" s="60"/>
      <x:c r="N27" s="60"/>
      <x:c r="O27" s="60"/>
      <x:c r="P27" s="60"/>
      <x:c r="Q27" s="60"/>
    </x:row>
    <x:row r="28">
      <x:c r="A28" s="60"/>
      <x:c r="B28" s="60"/>
      <x:c r="C28" s="60"/>
      <x:c r="D28" s="60"/>
      <x:c r="E28" s="60"/>
      <x:c r="F28" s="60"/>
      <x:c r="G28" s="60"/>
      <x:c r="H28" s="60"/>
      <x:c r="I28" s="60"/>
      <x:c r="J28" s="60"/>
      <x:c r="K28" s="60"/>
      <x:c r="L28" s="60"/>
      <x:c r="M28" s="60"/>
      <x:c r="N28" s="60"/>
      <x:c r="O28" s="60"/>
      <x:c r="P28" s="60"/>
      <x:c r="Q28" s="60"/>
    </x:row>
    <x:row r="29">
      <x:c r="A29" s="60"/>
      <x:c r="B29" s="60"/>
      <x:c r="C29" s="60"/>
      <x:c r="D29" s="60"/>
      <x:c r="E29" s="60"/>
      <x:c r="F29" s="60"/>
      <x:c r="G29" s="60"/>
      <x:c r="H29" s="60"/>
      <x:c r="I29" s="60"/>
      <x:c r="J29" s="60"/>
      <x:c r="K29" s="60"/>
      <x:c r="L29" s="60"/>
      <x:c r="M29" s="60"/>
      <x:c r="N29" s="60"/>
      <x:c r="O29" s="60"/>
      <x:c r="P29" s="60"/>
      <x:c r="Q29" s="60"/>
    </x:row>
    <x:row r="30">
      <x:c r="A30" s="60"/>
      <x:c r="B30" s="60"/>
      <x:c r="C30" s="60"/>
      <x:c r="D30" s="60"/>
      <x:c r="E30" s="60"/>
      <x:c r="F30" s="60"/>
      <x:c r="G30" s="60"/>
      <x:c r="H30" s="60"/>
      <x:c r="I30" s="60"/>
      <x:c r="J30" s="60"/>
      <x:c r="K30" s="60"/>
      <x:c r="L30" s="60"/>
      <x:c r="M30" s="60"/>
      <x:c r="N30" s="60"/>
      <x:c r="O30" s="60"/>
      <x:c r="P30" s="60"/>
      <x:c r="Q30" s="60"/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8" hidden="0" customWidth="1"/>
    <x:col min="4" max="4" width="28" hidden="0" customWidth="1"/>
    <x:col min="5" max="5" width="48" hidden="0" customWidth="1"/>
  </x:cols>
  <x:sheetData>
    <x:row r="1">
      <x:c r="A1" s="42" t="str">
        <x:v>Model Inputs — Named-Range Contract</x:v>
      </x:c>
      <x:c r="B1" s="42"/>
      <x:c r="C1" s="42"/>
      <x:c r="D1" s="42"/>
      <x:c r="E1" s="42"/>
      <x:c r="F1" s="60"/>
      <x:c r="G1" s="60"/>
      <x:c r="H1" s="60"/>
      <x:c r="I1" s="60"/>
      <x:c r="J1" s="60"/>
      <x:c r="K1" s="60"/>
      <x:c r="L1" s="60"/>
      <x:c r="M1" s="60"/>
      <x:c r="N1" s="60"/>
      <x:c r="O1" s="60"/>
      <x:c r="P1" s="60"/>
      <x:c r="Q1" s="60"/>
    </x:row>
    <x:row r="2">
      <x:c r="A2" s="60"/>
      <x:c r="B2" s="60" t="n">
        <x:v>8000000</x:v>
      </x:c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</x:row>
    <x:row r="3">
      <x:c r="A3" s="13" t="str">
        <x:v>Named Range</x:v>
      </x:c>
      <x:c r="B3" s="13" t="str">
        <x:v>Value</x:v>
      </x:c>
      <x:c r="C3" s="13" t="str">
        <x:v>Unit</x:v>
      </x:c>
      <x:c r="D3" s="13" t="str">
        <x:v>Meaning</x:v>
      </x:c>
      <x:c r="E3" s="13" t="str">
        <x:v>Provenance / Phase 4 Source</x:v>
      </x:c>
      <x:c r="F3" s="60"/>
      <x:c r="G3" s="60"/>
      <x:c r="H3" s="60"/>
      <x:c r="I3" s="60"/>
      <x:c r="J3" s="60"/>
      <x:c r="K3" s="60"/>
      <x:c r="L3" s="60"/>
      <x:c r="M3" s="60"/>
      <x:c r="N3" s="60"/>
      <x:c r="O3" s="60"/>
      <x:c r="P3" s="60"/>
      <x:c r="Q3" s="60"/>
    </x:row>
    <x:row r="4">
      <x:c r="A4" s="60" t="str">
        <x:v>FC_AMT</x:v>
      </x:c>
      <x:c r="B4" s="74" t="n">
        <x:v>8000000</x:v>
      </x:c>
      <x:c r="C4" s="60" t="str">
        <x:v>EUR</x:v>
      </x:c>
      <x:c r="D4" s="60" t="str">
        <x:v>Foreign-currency receivable</x:v>
      </x:c>
      <x:c r="E4" s="60" t="str">
        <x:v>Assigned FIN 321 Scenario #2; unchanged</x:v>
      </x:c>
      <x:c r="F4" s="60"/>
      <x:c r="G4" s="60"/>
      <x:c r="H4" s="60"/>
      <x:c r="I4" s="60"/>
      <x:c r="J4" s="60"/>
      <x:c r="K4" s="60"/>
      <x:c r="L4" s="60"/>
      <x:c r="M4" s="60"/>
      <x:c r="N4" s="60"/>
      <x:c r="O4" s="60"/>
      <x:c r="P4" s="60"/>
      <x:c r="Q4" s="60"/>
    </x:row>
    <x:row r="5">
      <x:c r="A5" s="60" t="str">
        <x:v>S0_in</x:v>
      </x:c>
      <x:c r="B5" s="75" t="n">
        <x:v>1.1535</x:v>
      </x:c>
      <x:c r="C5" s="60" t="str">
        <x:v>USD/EUR</x:v>
      </x:c>
      <x:c r="D5" s="60" t="str">
        <x:v>Current spot exchange rate</x:v>
      </x:c>
      <x:c r="E5" s="60" t="str">
        <x:v>ECB EUR/USD reference rate, August 7, 2026</x:v>
      </x:c>
      <x:c r="F5" s="60"/>
      <x:c r="G5" s="60"/>
      <x:c r="H5" s="60"/>
      <x:c r="I5" s="60"/>
      <x:c r="J5" s="60"/>
      <x:c r="K5" s="60"/>
      <x:c r="L5" s="60"/>
      <x:c r="M5" s="60"/>
      <x:c r="N5" s="60"/>
      <x:c r="O5" s="60"/>
      <x:c r="P5" s="60"/>
      <x:c r="Q5" s="60"/>
    </x:row>
    <x:row r="6">
      <x:c r="A6" s="60" t="str">
        <x:v>F0_in</x:v>
      </x:c>
      <x:c r="B6" s="75" t="n">
        <x:v>1.1747</x:v>
      </x:c>
      <x:c r="C6" s="60" t="str">
        <x:v>USD/EUR</x:v>
      </x:c>
      <x:c r="D6" s="60" t="str">
        <x:v>1-year forward rate</x:v>
      </x:c>
      <x:c r="E6" s="60" t="str">
        <x:v>CIP-implied from Phase 4 S0_in, R_USD, R_FC, and T_DAYS</x:v>
      </x:c>
      <x:c r="F6" s="60"/>
      <x:c r="G6" s="60"/>
      <x:c r="H6" s="60"/>
      <x:c r="I6" s="60"/>
      <x:c r="J6" s="60"/>
      <x:c r="K6" s="60"/>
      <x:c r="L6" s="60"/>
      <x:c r="M6" s="60"/>
      <x:c r="N6" s="60"/>
      <x:c r="O6" s="60"/>
      <x:c r="P6" s="60"/>
      <x:c r="Q6" s="60"/>
    </x:row>
    <x:row r="7">
      <x:c r="A7" s="60" t="str">
        <x:v>R_USD</x:v>
      </x:c>
      <x:c r="B7" s="75" t="n">
        <x:v>0.0406</x:v>
      </x:c>
      <x:c r="C7" s="60" t="str">
        <x:v>decimal annual</x:v>
      </x:c>
      <x:c r="D7" s="60" t="str">
        <x:v>1-year USD interest rate</x:v>
      </x:c>
      <x:c r="E7" s="60" t="str">
        <x:v>1-Year U.S. Treasury Constant Maturity Rate; latest observation used</x:v>
      </x:c>
      <x:c r="F7" s="60"/>
      <x:c r="G7" s="60"/>
      <x:c r="H7" s="60"/>
      <x:c r="I7" s="60"/>
      <x:c r="J7" s="60"/>
      <x:c r="K7" s="60"/>
      <x:c r="L7" s="60"/>
      <x:c r="M7" s="60"/>
      <x:c r="N7" s="60"/>
      <x:c r="O7" s="60"/>
      <x:c r="P7" s="60"/>
      <x:c r="Q7" s="60"/>
    </x:row>
    <x:row r="8">
      <x:c r="A8" s="60" t="str">
        <x:v>R_FC</x:v>
      </x:c>
      <x:c r="B8" s="75" t="n">
        <x:v>0.02185</x:v>
      </x:c>
      <x:c r="C8" s="60" t="str">
        <x:v>decimal annual</x:v>
      </x:c>
      <x:c r="D8" s="60" t="str">
        <x:v>1-year EUR interest rate</x:v>
      </x:c>
      <x:c r="E8" s="60" t="str">
        <x:v>ECB €STR reference-rate proxy; latest published observation used</x:v>
      </x:c>
      <x:c r="F8" s="60"/>
      <x:c r="G8" s="60"/>
      <x:c r="H8" s="60"/>
      <x:c r="I8" s="60"/>
      <x:c r="J8" s="60"/>
      <x:c r="K8" s="60"/>
      <x:c r="L8" s="60"/>
      <x:c r="M8" s="60"/>
      <x:c r="N8" s="60"/>
      <x:c r="O8" s="60"/>
      <x:c r="P8" s="60"/>
      <x:c r="Q8" s="60"/>
    </x:row>
    <x:row r="9">
      <x:c r="A9" s="60" t="str">
        <x:v>K_PUT</x:v>
      </x:c>
      <x:c r="B9" s="75" t="n">
        <x:v>1.1535</x:v>
      </x:c>
      <x:c r="C9" s="60" t="str">
        <x:v>USD/EUR</x:v>
      </x:c>
      <x:c r="D9" s="60" t="str">
        <x:v>EUR put strike</x:v>
      </x:c>
      <x:c r="E9" s="60" t="str">
        <x:v>Set at live spot (ATM)</x:v>
      </x:c>
      <x:c r="F9" s="60"/>
      <x:c r="G9" s="60"/>
      <x:c r="H9" s="60"/>
      <x:c r="I9" s="60"/>
      <x:c r="J9" s="60"/>
      <x:c r="K9" s="60"/>
      <x:c r="L9" s="60"/>
      <x:c r="M9" s="60"/>
      <x:c r="N9" s="60"/>
      <x:c r="O9" s="60"/>
      <x:c r="P9" s="60"/>
      <x:c r="Q9" s="60"/>
    </x:row>
    <x:row r="10">
      <x:c r="A10" s="60" t="str">
        <x:v>K_CALL</x:v>
      </x:c>
      <x:c r="B10" s="75" t="n">
        <x:v>1.1535</x:v>
      </x:c>
      <x:c r="C10" s="60" t="str">
        <x:v>USD/EUR</x:v>
      </x:c>
      <x:c r="D10" s="60" t="str">
        <x:v>EUR call strike</x:v>
      </x:c>
      <x:c r="E10" s="60" t="str">
        <x:v>Set at live spot (ATM)</x:v>
      </x:c>
      <x:c r="F10" s="60"/>
      <x:c r="G10" s="60"/>
      <x:c r="H10" s="60"/>
      <x:c r="I10" s="60"/>
      <x:c r="J10" s="60"/>
      <x:c r="K10" s="60"/>
      <x:c r="L10" s="60"/>
      <x:c r="M10" s="60"/>
      <x:c r="N10" s="60"/>
      <x:c r="O10" s="60"/>
      <x:c r="P10" s="60"/>
      <x:c r="Q10" s="60"/>
    </x:row>
    <x:row r="11">
      <x:c r="A11" s="60" t="str">
        <x:v>PREM_PUT</x:v>
      </x:c>
      <x:c r="B11" s="75" t="n">
        <x:v>0.02</x:v>
      </x:c>
      <x:c r="C11" s="60" t="str">
        <x:v>USD/EUR</x:v>
      </x:c>
      <x:c r="D11" s="60" t="str">
        <x:v>Put premium</x:v>
      </x:c>
      <x:c r="E11" s="60" t="str">
        <x:v>Phase 3 modeling assumption retained per Phase 4 instructions</x:v>
      </x:c>
      <x:c r="F11" s="60"/>
      <x:c r="G11" s="60"/>
      <x:c r="H11" s="60"/>
      <x:c r="I11" s="60"/>
      <x:c r="J11" s="60"/>
      <x:c r="K11" s="60"/>
      <x:c r="L11" s="60"/>
      <x:c r="M11" s="60"/>
      <x:c r="N11" s="60"/>
      <x:c r="O11" s="60"/>
      <x:c r="P11" s="60"/>
      <x:c r="Q11" s="60"/>
    </x:row>
    <x:row r="12">
      <x:c r="A12" s="60" t="str">
        <x:v>PREM_CALL</x:v>
      </x:c>
      <x:c r="B12" s="75" t="n">
        <x:v>0.02</x:v>
      </x:c>
      <x:c r="C12" s="60" t="str">
        <x:v>USD/EUR</x:v>
      </x:c>
      <x:c r="D12" s="60" t="str">
        <x:v>Call premium</x:v>
      </x:c>
      <x:c r="E12" s="60" t="str">
        <x:v>Phase 3 modeling assumption retained per Phase 4 instructions</x:v>
      </x:c>
      <x:c r="F12" s="60"/>
      <x:c r="G12" s="60"/>
      <x:c r="H12" s="60"/>
      <x:c r="I12" s="60"/>
      <x:c r="J12" s="60"/>
      <x:c r="K12" s="60"/>
      <x:c r="L12" s="60"/>
      <x:c r="M12" s="60"/>
      <x:c r="N12" s="60"/>
      <x:c r="O12" s="60"/>
      <x:c r="P12" s="60"/>
      <x:c r="Q12" s="60"/>
    </x:row>
    <x:row r="13">
      <x:c r="A13" s="60" t="str">
        <x:v>T_DAYS</x:v>
      </x:c>
      <x:c r="B13" s="76" t="n">
        <x:v>360</x:v>
      </x:c>
      <x:c r="C13" s="60" t="str">
        <x:v>days</x:v>
      </x:c>
      <x:c r="D13" s="60" t="str">
        <x:v>Time to maturity</x:v>
      </x:c>
      <x:c r="E13" s="60" t="str">
        <x:v>Assigned one-year scenario / ACT-360 convention</x:v>
      </x:c>
      <x:c r="F13" s="60"/>
      <x:c r="G13" s="60"/>
      <x:c r="H13" s="60"/>
      <x:c r="I13" s="60"/>
      <x:c r="J13" s="60"/>
      <x:c r="K13" s="60"/>
      <x:c r="L13" s="60"/>
      <x:c r="M13" s="60"/>
      <x:c r="N13" s="60"/>
      <x:c r="O13" s="60"/>
      <x:c r="P13" s="60"/>
      <x:c r="Q13" s="60"/>
    </x:row>
    <x:row r="14">
      <x:c r="A14" s="60"/>
      <x:c r="B14" s="60"/>
      <x:c r="C14" s="60"/>
      <x:c r="D14" s="60"/>
      <x:c r="E14" s="60"/>
      <x:c r="F14" s="60"/>
      <x:c r="G14" s="60"/>
      <x:c r="H14" s="60"/>
      <x:c r="I14" s="60"/>
      <x:c r="J14" s="60"/>
      <x:c r="K14" s="60"/>
      <x:c r="L14" s="60"/>
      <x:c r="M14" s="60"/>
      <x:c r="N14" s="60"/>
      <x:c r="O14" s="60"/>
      <x:c r="P14" s="60"/>
      <x:c r="Q14" s="60"/>
    </x:row>
    <x:row r="15">
      <x:c r="A15" s="60"/>
      <x:c r="B15" s="60"/>
      <x:c r="C15" s="60"/>
      <x:c r="D15" s="60"/>
      <x:c r="E15" s="60"/>
      <x:c r="F15" s="60"/>
      <x:c r="G15" s="60"/>
      <x:c r="H15" s="60"/>
      <x:c r="I15" s="60"/>
      <x:c r="J15" s="60"/>
      <x:c r="K15" s="60"/>
      <x:c r="L15" s="60"/>
      <x:c r="M15" s="60"/>
      <x:c r="N15" s="60"/>
      <x:c r="O15" s="60"/>
      <x:c r="P15" s="60"/>
      <x:c r="Q15" s="60"/>
    </x:row>
    <x:row r="16">
      <x:c r="A16" s="60"/>
      <x:c r="B16" s="60"/>
      <x:c r="C16" s="60"/>
      <x:c r="D16" s="60"/>
      <x:c r="E16" s="60"/>
      <x:c r="F16" s="60"/>
      <x:c r="G16" s="60"/>
      <x:c r="H16" s="60"/>
      <x:c r="I16" s="60"/>
      <x:c r="J16" s="60"/>
      <x:c r="K16" s="60"/>
      <x:c r="L16" s="60"/>
      <x:c r="M16" s="60"/>
      <x:c r="N16" s="60"/>
      <x:c r="O16" s="60"/>
      <x:c r="P16" s="60"/>
      <x:c r="Q16" s="60"/>
    </x:row>
    <x:row r="17">
      <x:c r="A17" s="60"/>
      <x:c r="B17" s="60"/>
      <x:c r="C17" s="60"/>
      <x:c r="D17" s="60"/>
      <x:c r="E17" s="60"/>
      <x:c r="F17" s="60"/>
      <x:c r="G17" s="60"/>
      <x:c r="H17" s="60"/>
      <x:c r="I17" s="60"/>
      <x:c r="J17" s="60"/>
      <x:c r="K17" s="60"/>
      <x:c r="L17" s="60"/>
      <x:c r="M17" s="60"/>
      <x:c r="N17" s="60"/>
      <x:c r="O17" s="60"/>
      <x:c r="P17" s="60"/>
      <x:c r="Q17" s="60"/>
    </x:row>
    <x:row r="18">
      <x:c r="A18" s="60"/>
      <x:c r="B18" s="60"/>
      <x:c r="C18" s="60"/>
      <x:c r="D18" s="60"/>
      <x:c r="E18" s="60"/>
      <x:c r="F18" s="60"/>
      <x:c r="G18" s="60"/>
      <x:c r="H18" s="60"/>
      <x:c r="I18" s="60"/>
      <x:c r="J18" s="60"/>
      <x:c r="K18" s="60"/>
      <x:c r="L18" s="60"/>
      <x:c r="M18" s="60"/>
      <x:c r="N18" s="60"/>
      <x:c r="O18" s="60"/>
      <x:c r="P18" s="60"/>
      <x:c r="Q18" s="60"/>
    </x:row>
    <x:row r="19">
      <x:c r="A19" s="60"/>
      <x:c r="B19" s="60"/>
      <x:c r="C19" s="60"/>
      <x:c r="D19" s="60"/>
      <x:c r="E19" s="60"/>
      <x:c r="F19" s="60"/>
      <x:c r="G19" s="60"/>
      <x:c r="H19" s="60"/>
      <x:c r="I19" s="60"/>
      <x:c r="J19" s="60"/>
      <x:c r="K19" s="60"/>
      <x:c r="L19" s="60"/>
      <x:c r="M19" s="60"/>
      <x:c r="N19" s="60"/>
      <x:c r="O19" s="60"/>
      <x:c r="P19" s="60"/>
      <x:c r="Q19" s="60"/>
    </x:row>
    <x:row r="20">
      <x:c r="A20" s="60"/>
      <x:c r="B20" s="60"/>
      <x:c r="C20" s="60"/>
      <x:c r="D20" s="60"/>
      <x:c r="E20" s="60"/>
      <x:c r="F20" s="60"/>
      <x:c r="G20" s="60"/>
      <x:c r="H20" s="60"/>
      <x:c r="I20" s="60"/>
      <x:c r="J20" s="60"/>
      <x:c r="K20" s="60"/>
      <x:c r="L20" s="60"/>
      <x:c r="M20" s="60"/>
      <x:c r="N20" s="60"/>
      <x:c r="O20" s="60"/>
      <x:c r="P20" s="60"/>
      <x:c r="Q20" s="60"/>
    </x:row>
    <x:row r="21">
      <x:c r="A21" s="60"/>
      <x:c r="B21" s="60"/>
      <x:c r="C21" s="60"/>
      <x:c r="D21" s="60"/>
      <x:c r="E21" s="60"/>
      <x:c r="F21" s="60"/>
      <x:c r="G21" s="60"/>
      <x:c r="H21" s="60"/>
      <x:c r="I21" s="60"/>
      <x:c r="J21" s="60"/>
      <x:c r="K21" s="60"/>
      <x:c r="L21" s="60"/>
      <x:c r="M21" s="60"/>
      <x:c r="N21" s="60"/>
      <x:c r="O21" s="60"/>
      <x:c r="P21" s="60"/>
      <x:c r="Q21" s="60"/>
    </x:row>
    <x:row r="22">
      <x:c r="A22" s="60"/>
      <x:c r="B22" s="60"/>
      <x:c r="C22" s="60"/>
      <x:c r="D22" s="60"/>
      <x:c r="E22" s="60"/>
      <x:c r="F22" s="60"/>
      <x:c r="G22" s="60"/>
      <x:c r="H22" s="60"/>
      <x:c r="I22" s="60"/>
      <x:c r="J22" s="60"/>
      <x:c r="K22" s="60"/>
      <x:c r="L22" s="60"/>
      <x:c r="M22" s="60"/>
      <x:c r="N22" s="60"/>
      <x:c r="O22" s="60"/>
      <x:c r="P22" s="60"/>
      <x:c r="Q22" s="60"/>
    </x:row>
    <x:row r="23">
      <x:c r="A23" s="60"/>
      <x:c r="B23" s="60"/>
      <x:c r="C23" s="60"/>
      <x:c r="D23" s="60"/>
      <x:c r="E23" s="60"/>
      <x:c r="F23" s="60"/>
      <x:c r="G23" s="60"/>
      <x:c r="H23" s="60"/>
      <x:c r="I23" s="60"/>
      <x:c r="J23" s="60"/>
      <x:c r="K23" s="60"/>
      <x:c r="L23" s="60"/>
      <x:c r="M23" s="60"/>
      <x:c r="N23" s="60"/>
      <x:c r="O23" s="60"/>
      <x:c r="P23" s="60"/>
      <x:c r="Q23" s="60"/>
    </x:row>
    <x:row r="24">
      <x:c r="A24" s="60"/>
      <x:c r="B24" s="60"/>
      <x:c r="C24" s="60"/>
      <x:c r="D24" s="60"/>
      <x:c r="E24" s="60"/>
      <x:c r="F24" s="60"/>
      <x:c r="G24" s="60"/>
      <x:c r="H24" s="60"/>
      <x:c r="I24" s="60"/>
      <x:c r="J24" s="60"/>
      <x:c r="K24" s="60"/>
      <x:c r="L24" s="60"/>
      <x:c r="M24" s="60"/>
      <x:c r="N24" s="60"/>
      <x:c r="O24" s="60"/>
      <x:c r="P24" s="60"/>
      <x:c r="Q24" s="60"/>
    </x:row>
    <x:row r="25">
      <x:c r="A25" s="60"/>
      <x:c r="B25" s="60"/>
      <x:c r="C25" s="60"/>
      <x:c r="D25" s="60"/>
      <x:c r="E25" s="60"/>
      <x:c r="F25" s="60"/>
      <x:c r="G25" s="60"/>
      <x:c r="H25" s="60"/>
      <x:c r="I25" s="60"/>
      <x:c r="J25" s="60"/>
      <x:c r="K25" s="60"/>
      <x:c r="L25" s="60"/>
      <x:c r="M25" s="60"/>
      <x:c r="N25" s="60"/>
      <x:c r="O25" s="60"/>
      <x:c r="P25" s="60"/>
      <x:c r="Q25" s="60"/>
    </x:row>
    <x:row r="26">
      <x:c r="A26" s="60"/>
      <x:c r="B26" s="60"/>
      <x:c r="C26" s="60"/>
      <x:c r="D26" s="60"/>
      <x:c r="E26" s="60"/>
      <x:c r="F26" s="60"/>
      <x:c r="G26" s="60"/>
      <x:c r="H26" s="60"/>
      <x:c r="I26" s="60"/>
      <x:c r="J26" s="60"/>
      <x:c r="K26" s="60"/>
      <x:c r="L26" s="60"/>
      <x:c r="M26" s="60"/>
      <x:c r="N26" s="60"/>
      <x:c r="O26" s="60"/>
      <x:c r="P26" s="60"/>
      <x:c r="Q26" s="60"/>
    </x:row>
    <x:row r="27">
      <x:c r="A27" s="60"/>
      <x:c r="B27" s="60"/>
      <x:c r="C27" s="60"/>
      <x:c r="D27" s="60"/>
      <x:c r="E27" s="60"/>
      <x:c r="F27" s="60"/>
      <x:c r="G27" s="60"/>
      <x:c r="H27" s="60"/>
      <x:c r="I27" s="60"/>
      <x:c r="J27" s="60"/>
      <x:c r="K27" s="60"/>
      <x:c r="L27" s="60"/>
      <x:c r="M27" s="60"/>
      <x:c r="N27" s="60"/>
      <x:c r="O27" s="60"/>
      <x:c r="P27" s="60"/>
      <x:c r="Q27" s="60"/>
    </x:row>
    <x:row r="28">
      <x:c r="A28" s="60"/>
      <x:c r="B28" s="60"/>
      <x:c r="C28" s="60"/>
      <x:c r="D28" s="60"/>
      <x:c r="E28" s="60"/>
      <x:c r="F28" s="60"/>
      <x:c r="G28" s="60"/>
      <x:c r="H28" s="60"/>
      <x:c r="I28" s="60"/>
      <x:c r="J28" s="60"/>
      <x:c r="K28" s="60"/>
      <x:c r="L28" s="60"/>
      <x:c r="M28" s="60"/>
      <x:c r="N28" s="60"/>
      <x:c r="O28" s="60"/>
      <x:c r="P28" s="60"/>
      <x:c r="Q28" s="60"/>
    </x:row>
    <x:row r="29">
      <x:c r="A29" s="60"/>
      <x:c r="B29" s="60"/>
      <x:c r="C29" s="60"/>
      <x:c r="D29" s="60"/>
      <x:c r="E29" s="60"/>
      <x:c r="F29" s="60"/>
      <x:c r="G29" s="60"/>
      <x:c r="H29" s="60"/>
      <x:c r="I29" s="60"/>
      <x:c r="J29" s="60"/>
      <x:c r="K29" s="60"/>
      <x:c r="L29" s="60"/>
      <x:c r="M29" s="60"/>
      <x:c r="N29" s="60"/>
      <x:c r="O29" s="60"/>
      <x:c r="P29" s="60"/>
      <x:c r="Q29" s="60"/>
    </x:row>
    <x:row r="30">
      <x:c r="A30" s="60"/>
      <x:c r="B30" s="60"/>
      <x:c r="C30" s="60"/>
      <x:c r="D30" s="60"/>
      <x:c r="E30" s="60"/>
      <x:c r="F30" s="60"/>
      <x:c r="G30" s="60"/>
      <x:c r="H30" s="60"/>
      <x:c r="I30" s="60"/>
      <x:c r="J30" s="60"/>
      <x:c r="K30" s="60"/>
      <x:c r="L30" s="60"/>
      <x:c r="M30" s="60"/>
      <x:c r="N30" s="60"/>
      <x:c r="O30" s="60"/>
      <x:c r="P30" s="60"/>
      <x:c r="Q30" s="60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0" hidden="0" customWidth="1"/>
  </x:cols>
  <x:sheetData>
    <x:row r="1">
      <x:c r="A1" s="5" t="str">
        <x:v>Forward Hedge</x:v>
      </x:c>
      <x:c r="B1" s="5"/>
      <x:c r="C1" s="5"/>
      <x:c r="D1" s="5"/>
      <x:c r="E1" s="60"/>
      <x:c r="F1" s="60"/>
      <x:c r="G1" s="60"/>
      <x:c r="H1" s="60"/>
      <x:c r="I1" s="60"/>
      <x:c r="J1" s="60"/>
      <x:c r="K1" s="60"/>
      <x:c r="L1" s="60"/>
      <x:c r="M1" s="60"/>
      <x:c r="N1" s="60"/>
      <x:c r="O1" s="60"/>
      <x:c r="P1" s="60"/>
      <x:c r="Q1" s="60"/>
    </x:row>
    <x:row r="2">
      <x:c r="A2" s="60"/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</x:row>
    <x:row r="3">
      <x:c r="A3" s="13" t="str">
        <x:v>Item</x:v>
      </x:c>
      <x:c r="B3" s="13" t="str">
        <x:v>Value</x:v>
      </x:c>
      <x:c r="C3" s="60"/>
      <x:c r="D3" s="60"/>
      <x:c r="E3" s="60"/>
      <x:c r="F3" s="60"/>
      <x:c r="G3" s="60"/>
      <x:c r="H3" s="60"/>
      <x:c r="I3" s="60"/>
      <x:c r="J3" s="60"/>
      <x:c r="K3" s="60"/>
      <x:c r="L3" s="60"/>
      <x:c r="M3" s="60"/>
      <x:c r="N3" s="60"/>
      <x:c r="O3" s="60"/>
      <x:c r="P3" s="60"/>
      <x:c r="Q3" s="60"/>
    </x:row>
    <x:row r="4">
      <x:c r="A4" s="60" t="str">
        <x:v>Foreign Currency Amount</x:v>
      </x:c>
      <x:c r="B4" s="80" t="n">
        <x:f>FC_AMT</x:f>
        <x:v>8000000</x:v>
      </x:c>
      <x:c r="C4" s="60"/>
      <x:c r="D4" s="60"/>
      <x:c r="E4" s="60"/>
      <x:c r="F4" s="60"/>
      <x:c r="G4" s="60"/>
      <x:c r="H4" s="60"/>
      <x:c r="I4" s="60"/>
      <x:c r="J4" s="60"/>
      <x:c r="K4" s="60"/>
      <x:c r="L4" s="60"/>
      <x:c r="M4" s="60"/>
      <x:c r="N4" s="60"/>
      <x:c r="O4" s="60"/>
      <x:c r="P4" s="60"/>
      <x:c r="Q4" s="60"/>
    </x:row>
    <x:row r="5">
      <x:c r="A5" s="60" t="str">
        <x:v>Forward Rate</x:v>
      </x:c>
      <x:c r="B5" s="81" t="n">
        <x:f>F0_in</x:f>
        <x:v>1.1747</x:v>
      </x:c>
      <x:c r="C5" s="60"/>
      <x:c r="D5" s="60"/>
      <x:c r="E5" s="60"/>
      <x:c r="F5" s="60"/>
      <x:c r="G5" s="60"/>
      <x:c r="H5" s="60"/>
      <x:c r="I5" s="60"/>
      <x:c r="J5" s="60"/>
      <x:c r="K5" s="60"/>
      <x:c r="L5" s="60"/>
      <x:c r="M5" s="60"/>
      <x:c r="N5" s="60"/>
      <x:c r="O5" s="60"/>
      <x:c r="P5" s="60"/>
      <x:c r="Q5" s="60"/>
    </x:row>
    <x:row r="6">
      <x:c r="A6" s="60" t="str">
        <x:v>Forward USD Proceeds</x:v>
      </x:c>
      <x:c r="B6" s="82" t="n">
        <x:f>FC_AMT*F0_in</x:f>
        <x:v>9397600</x:v>
      </x:c>
      <x:c r="C6" s="60"/>
      <x:c r="D6" s="60"/>
      <x:c r="E6" s="60"/>
      <x:c r="F6" s="60"/>
      <x:c r="G6" s="60"/>
      <x:c r="H6" s="60"/>
      <x:c r="I6" s="60"/>
      <x:c r="J6" s="60"/>
      <x:c r="K6" s="60"/>
      <x:c r="L6" s="60"/>
      <x:c r="M6" s="60"/>
      <x:c r="N6" s="60"/>
      <x:c r="O6" s="60"/>
      <x:c r="P6" s="60"/>
      <x:c r="Q6" s="60"/>
    </x:row>
    <x:row r="7">
      <x:c r="A7" s="60"/>
      <x:c r="B7" s="60"/>
      <x:c r="C7" s="60"/>
      <x:c r="D7" s="60"/>
      <x:c r="E7" s="60"/>
      <x:c r="F7" s="60"/>
      <x:c r="G7" s="60"/>
      <x:c r="H7" s="60"/>
      <x:c r="I7" s="60"/>
      <x:c r="J7" s="60"/>
      <x:c r="K7" s="60"/>
      <x:c r="L7" s="60"/>
      <x:c r="M7" s="60"/>
      <x:c r="N7" s="60"/>
      <x:c r="O7" s="60"/>
      <x:c r="P7" s="60"/>
      <x:c r="Q7" s="60"/>
    </x:row>
    <x:row r="8">
      <x:c r="A8" s="60"/>
      <x:c r="B8" s="60"/>
      <x:c r="C8" s="60"/>
      <x:c r="D8" s="60"/>
      <x:c r="E8" s="60"/>
      <x:c r="F8" s="60"/>
      <x:c r="G8" s="60"/>
      <x:c r="H8" s="60"/>
      <x:c r="I8" s="60"/>
      <x:c r="J8" s="60"/>
      <x:c r="K8" s="60"/>
      <x:c r="L8" s="60"/>
      <x:c r="M8" s="60"/>
      <x:c r="N8" s="60"/>
      <x:c r="O8" s="60"/>
      <x:c r="P8" s="60"/>
      <x:c r="Q8" s="60"/>
    </x:row>
    <x:row r="9">
      <x:c r="A9" s="60"/>
      <x:c r="B9" s="60"/>
      <x:c r="C9" s="60"/>
      <x:c r="D9" s="60"/>
      <x:c r="E9" s="60"/>
      <x:c r="F9" s="60"/>
      <x:c r="G9" s="60"/>
      <x:c r="H9" s="60"/>
      <x:c r="I9" s="60"/>
      <x:c r="J9" s="60"/>
      <x:c r="K9" s="60"/>
      <x:c r="L9" s="60"/>
      <x:c r="M9" s="60"/>
      <x:c r="N9" s="60"/>
      <x:c r="O9" s="60"/>
      <x:c r="P9" s="60"/>
      <x:c r="Q9" s="60"/>
    </x:row>
    <x:row r="10">
      <x:c r="A10" s="60"/>
      <x:c r="B10" s="60"/>
      <x:c r="C10" s="60"/>
      <x:c r="D10" s="60"/>
      <x:c r="E10" s="60"/>
      <x:c r="F10" s="60"/>
      <x:c r="G10" s="60"/>
      <x:c r="H10" s="60"/>
      <x:c r="I10" s="60"/>
      <x:c r="J10" s="60"/>
      <x:c r="K10" s="60"/>
      <x:c r="L10" s="60"/>
      <x:c r="M10" s="60"/>
      <x:c r="N10" s="60"/>
      <x:c r="O10" s="60"/>
      <x:c r="P10" s="60"/>
      <x:c r="Q10" s="60"/>
    </x:row>
    <x:row r="11">
      <x:c r="A11" s="60"/>
      <x:c r="B11" s="60"/>
      <x:c r="C11" s="60"/>
      <x:c r="D11" s="60"/>
      <x:c r="E11" s="60"/>
      <x:c r="F11" s="60"/>
      <x:c r="G11" s="60"/>
      <x:c r="H11" s="60"/>
      <x:c r="I11" s="60"/>
      <x:c r="J11" s="60"/>
      <x:c r="K11" s="60"/>
      <x:c r="L11" s="60"/>
      <x:c r="M11" s="60"/>
      <x:c r="N11" s="60"/>
      <x:c r="O11" s="60"/>
      <x:c r="P11" s="60"/>
      <x:c r="Q11" s="60"/>
    </x:row>
    <x:row r="12">
      <x:c r="A12" s="60"/>
      <x:c r="B12" s="60"/>
      <x:c r="C12" s="60"/>
      <x:c r="D12" s="60"/>
      <x:c r="E12" s="60"/>
      <x:c r="F12" s="60"/>
      <x:c r="G12" s="60"/>
      <x:c r="H12" s="60"/>
      <x:c r="I12" s="60"/>
      <x:c r="J12" s="60"/>
      <x:c r="K12" s="60"/>
      <x:c r="L12" s="60"/>
      <x:c r="M12" s="60"/>
      <x:c r="N12" s="60"/>
      <x:c r="O12" s="60"/>
      <x:c r="P12" s="60"/>
      <x:c r="Q12" s="60"/>
    </x:row>
    <x:row r="13">
      <x:c r="A13" s="60"/>
      <x:c r="B13" s="60"/>
      <x:c r="C13" s="60"/>
      <x:c r="D13" s="60"/>
      <x:c r="E13" s="60"/>
      <x:c r="F13" s="60"/>
      <x:c r="G13" s="60"/>
      <x:c r="H13" s="60"/>
      <x:c r="I13" s="60"/>
      <x:c r="J13" s="60"/>
      <x:c r="K13" s="60"/>
      <x:c r="L13" s="60"/>
      <x:c r="M13" s="60"/>
      <x:c r="N13" s="60"/>
      <x:c r="O13" s="60"/>
      <x:c r="P13" s="60"/>
      <x:c r="Q13" s="60"/>
    </x:row>
    <x:row r="14">
      <x:c r="A14" s="60"/>
      <x:c r="B14" s="60"/>
      <x:c r="C14" s="60"/>
      <x:c r="D14" s="60"/>
      <x:c r="E14" s="60"/>
      <x:c r="F14" s="60"/>
      <x:c r="G14" s="60"/>
      <x:c r="H14" s="60"/>
      <x:c r="I14" s="60"/>
      <x:c r="J14" s="60"/>
      <x:c r="K14" s="60"/>
      <x:c r="L14" s="60"/>
      <x:c r="M14" s="60"/>
      <x:c r="N14" s="60"/>
      <x:c r="O14" s="60"/>
      <x:c r="P14" s="60"/>
      <x:c r="Q14" s="60"/>
    </x:row>
    <x:row r="15">
      <x:c r="A15" s="60"/>
      <x:c r="B15" s="60"/>
      <x:c r="C15" s="60"/>
      <x:c r="D15" s="60"/>
      <x:c r="E15" s="60"/>
      <x:c r="F15" s="60"/>
      <x:c r="G15" s="60"/>
      <x:c r="H15" s="60"/>
      <x:c r="I15" s="60"/>
      <x:c r="J15" s="60"/>
      <x:c r="K15" s="60"/>
      <x:c r="L15" s="60"/>
      <x:c r="M15" s="60"/>
      <x:c r="N15" s="60"/>
      <x:c r="O15" s="60"/>
      <x:c r="P15" s="60"/>
      <x:c r="Q15" s="60"/>
    </x:row>
    <x:row r="16">
      <x:c r="A16" s="60"/>
      <x:c r="B16" s="60"/>
      <x:c r="C16" s="60"/>
      <x:c r="D16" s="60"/>
      <x:c r="E16" s="60"/>
      <x:c r="F16" s="60"/>
      <x:c r="G16" s="60"/>
      <x:c r="H16" s="60"/>
      <x:c r="I16" s="60"/>
      <x:c r="J16" s="60"/>
      <x:c r="K16" s="60"/>
      <x:c r="L16" s="60"/>
      <x:c r="M16" s="60"/>
      <x:c r="N16" s="60"/>
      <x:c r="O16" s="60"/>
      <x:c r="P16" s="60"/>
      <x:c r="Q16" s="60"/>
    </x:row>
    <x:row r="17">
      <x:c r="A17" s="60"/>
      <x:c r="B17" s="60"/>
      <x:c r="C17" s="60"/>
      <x:c r="D17" s="60"/>
      <x:c r="E17" s="60"/>
      <x:c r="F17" s="60"/>
      <x:c r="G17" s="60"/>
      <x:c r="H17" s="60"/>
      <x:c r="I17" s="60"/>
      <x:c r="J17" s="60"/>
      <x:c r="K17" s="60"/>
      <x:c r="L17" s="60"/>
      <x:c r="M17" s="60"/>
      <x:c r="N17" s="60"/>
      <x:c r="O17" s="60"/>
      <x:c r="P17" s="60"/>
      <x:c r="Q17" s="60"/>
    </x:row>
    <x:row r="18">
      <x:c r="A18" s="60"/>
      <x:c r="B18" s="60"/>
      <x:c r="C18" s="60"/>
      <x:c r="D18" s="60"/>
      <x:c r="E18" s="60"/>
      <x:c r="F18" s="60"/>
      <x:c r="G18" s="60"/>
      <x:c r="H18" s="60"/>
      <x:c r="I18" s="60"/>
      <x:c r="J18" s="60"/>
      <x:c r="K18" s="60"/>
      <x:c r="L18" s="60"/>
      <x:c r="M18" s="60"/>
      <x:c r="N18" s="60"/>
      <x:c r="O18" s="60"/>
      <x:c r="P18" s="60"/>
      <x:c r="Q18" s="60"/>
    </x:row>
    <x:row r="19">
      <x:c r="A19" s="60"/>
      <x:c r="B19" s="60"/>
      <x:c r="C19" s="60"/>
      <x:c r="D19" s="60"/>
      <x:c r="E19" s="60"/>
      <x:c r="F19" s="60"/>
      <x:c r="G19" s="60"/>
      <x:c r="H19" s="60"/>
      <x:c r="I19" s="60"/>
      <x:c r="J19" s="60"/>
      <x:c r="K19" s="60"/>
      <x:c r="L19" s="60"/>
      <x:c r="M19" s="60"/>
      <x:c r="N19" s="60"/>
      <x:c r="O19" s="60"/>
      <x:c r="P19" s="60"/>
      <x:c r="Q19" s="60"/>
    </x:row>
    <x:row r="20">
      <x:c r="A20" s="60"/>
      <x:c r="B20" s="60"/>
      <x:c r="C20" s="60"/>
      <x:c r="D20" s="60"/>
      <x:c r="E20" s="60"/>
      <x:c r="F20" s="60"/>
      <x:c r="G20" s="60"/>
      <x:c r="H20" s="60"/>
      <x:c r="I20" s="60"/>
      <x:c r="J20" s="60"/>
      <x:c r="K20" s="60"/>
      <x:c r="L20" s="60"/>
      <x:c r="M20" s="60"/>
      <x:c r="N20" s="60"/>
      <x:c r="O20" s="60"/>
      <x:c r="P20" s="60"/>
      <x:c r="Q20" s="60"/>
    </x:row>
    <x:row r="21">
      <x:c r="A21" s="60"/>
      <x:c r="B21" s="60"/>
      <x:c r="C21" s="60"/>
      <x:c r="D21" s="60"/>
      <x:c r="E21" s="60"/>
      <x:c r="F21" s="60"/>
      <x:c r="G21" s="60"/>
      <x:c r="H21" s="60"/>
      <x:c r="I21" s="60"/>
      <x:c r="J21" s="60"/>
      <x:c r="K21" s="60"/>
      <x:c r="L21" s="60"/>
      <x:c r="M21" s="60"/>
      <x:c r="N21" s="60"/>
      <x:c r="O21" s="60"/>
      <x:c r="P21" s="60"/>
      <x:c r="Q21" s="60"/>
    </x:row>
    <x:row r="22">
      <x:c r="A22" s="60"/>
      <x:c r="B22" s="60"/>
      <x:c r="C22" s="60"/>
      <x:c r="D22" s="60"/>
      <x:c r="E22" s="60"/>
      <x:c r="F22" s="60"/>
      <x:c r="G22" s="60"/>
      <x:c r="H22" s="60"/>
      <x:c r="I22" s="60"/>
      <x:c r="J22" s="60"/>
      <x:c r="K22" s="60"/>
      <x:c r="L22" s="60"/>
      <x:c r="M22" s="60"/>
      <x:c r="N22" s="60"/>
      <x:c r="O22" s="60"/>
      <x:c r="P22" s="60"/>
      <x:c r="Q22" s="60"/>
    </x:row>
    <x:row r="23">
      <x:c r="A23" s="60"/>
      <x:c r="B23" s="60"/>
      <x:c r="C23" s="60"/>
      <x:c r="D23" s="60"/>
      <x:c r="E23" s="60"/>
      <x:c r="F23" s="60"/>
      <x:c r="G23" s="60"/>
      <x:c r="H23" s="60"/>
      <x:c r="I23" s="60"/>
      <x:c r="J23" s="60"/>
      <x:c r="K23" s="60"/>
      <x:c r="L23" s="60"/>
      <x:c r="M23" s="60"/>
      <x:c r="N23" s="60"/>
      <x:c r="O23" s="60"/>
      <x:c r="P23" s="60"/>
      <x:c r="Q23" s="60"/>
    </x:row>
    <x:row r="24">
      <x:c r="A24" s="60"/>
      <x:c r="B24" s="60"/>
      <x:c r="C24" s="60"/>
      <x:c r="D24" s="60"/>
      <x:c r="E24" s="60"/>
      <x:c r="F24" s="60"/>
      <x:c r="G24" s="60"/>
      <x:c r="H24" s="60"/>
      <x:c r="I24" s="60"/>
      <x:c r="J24" s="60"/>
      <x:c r="K24" s="60"/>
      <x:c r="L24" s="60"/>
      <x:c r="M24" s="60"/>
      <x:c r="N24" s="60"/>
      <x:c r="O24" s="60"/>
      <x:c r="P24" s="60"/>
      <x:c r="Q24" s="60"/>
    </x:row>
    <x:row r="25">
      <x:c r="A25" s="60"/>
      <x:c r="B25" s="60"/>
      <x:c r="C25" s="60"/>
      <x:c r="D25" s="60"/>
      <x:c r="E25" s="60"/>
      <x:c r="F25" s="60"/>
      <x:c r="G25" s="60"/>
      <x:c r="H25" s="60"/>
      <x:c r="I25" s="60"/>
      <x:c r="J25" s="60"/>
      <x:c r="K25" s="60"/>
      <x:c r="L25" s="60"/>
      <x:c r="M25" s="60"/>
      <x:c r="N25" s="60"/>
      <x:c r="O25" s="60"/>
      <x:c r="P25" s="60"/>
      <x:c r="Q25" s="60"/>
    </x:row>
    <x:row r="26">
      <x:c r="A26" s="60"/>
      <x:c r="B26" s="60"/>
      <x:c r="C26" s="60"/>
      <x:c r="D26" s="60"/>
      <x:c r="E26" s="60"/>
      <x:c r="F26" s="60"/>
      <x:c r="G26" s="60"/>
      <x:c r="H26" s="60"/>
      <x:c r="I26" s="60"/>
      <x:c r="J26" s="60"/>
      <x:c r="K26" s="60"/>
      <x:c r="L26" s="60"/>
      <x:c r="M26" s="60"/>
      <x:c r="N26" s="60"/>
      <x:c r="O26" s="60"/>
      <x:c r="P26" s="60"/>
      <x:c r="Q26" s="60"/>
    </x:row>
    <x:row r="27">
      <x:c r="A27" s="60"/>
      <x:c r="B27" s="60"/>
      <x:c r="C27" s="60"/>
      <x:c r="D27" s="60"/>
      <x:c r="E27" s="60"/>
      <x:c r="F27" s="60"/>
      <x:c r="G27" s="60"/>
      <x:c r="H27" s="60"/>
      <x:c r="I27" s="60"/>
      <x:c r="J27" s="60"/>
      <x:c r="K27" s="60"/>
      <x:c r="L27" s="60"/>
      <x:c r="M27" s="60"/>
      <x:c r="N27" s="60"/>
      <x:c r="O27" s="60"/>
      <x:c r="P27" s="60"/>
      <x:c r="Q27" s="60"/>
    </x:row>
    <x:row r="28">
      <x:c r="A28" s="60"/>
      <x:c r="B28" s="60"/>
      <x:c r="C28" s="60"/>
      <x:c r="D28" s="60"/>
      <x:c r="E28" s="60"/>
      <x:c r="F28" s="60"/>
      <x:c r="G28" s="60"/>
      <x:c r="H28" s="60"/>
      <x:c r="I28" s="60"/>
      <x:c r="J28" s="60"/>
      <x:c r="K28" s="60"/>
      <x:c r="L28" s="60"/>
      <x:c r="M28" s="60"/>
      <x:c r="N28" s="60"/>
      <x:c r="O28" s="60"/>
      <x:c r="P28" s="60"/>
      <x:c r="Q28" s="60"/>
    </x:row>
    <x:row r="29">
      <x:c r="A29" s="60"/>
      <x:c r="B29" s="60"/>
      <x:c r="C29" s="60"/>
      <x:c r="D29" s="60"/>
      <x:c r="E29" s="60"/>
      <x:c r="F29" s="60"/>
      <x:c r="G29" s="60"/>
      <x:c r="H29" s="60"/>
      <x:c r="I29" s="60"/>
      <x:c r="J29" s="60"/>
      <x:c r="K29" s="60"/>
      <x:c r="L29" s="60"/>
      <x:c r="M29" s="60"/>
      <x:c r="N29" s="60"/>
      <x:c r="O29" s="60"/>
      <x:c r="P29" s="60"/>
      <x:c r="Q29" s="60"/>
    </x:row>
    <x:row r="30">
      <x:c r="A30" s="60"/>
      <x:c r="B30" s="60"/>
      <x:c r="C30" s="60"/>
      <x:c r="D30" s="60"/>
      <x:c r="E30" s="60"/>
      <x:c r="F30" s="60"/>
      <x:c r="G30" s="60"/>
      <x:c r="H30" s="60"/>
      <x:c r="I30" s="60"/>
      <x:c r="J30" s="60"/>
      <x:c r="K30" s="60"/>
      <x:c r="L30" s="60"/>
      <x:c r="M30" s="60"/>
      <x:c r="N30" s="60"/>
      <x:c r="O30" s="60"/>
      <x:c r="P30" s="60"/>
      <x:c r="Q30" s="60"/>
    </x:row>
  </x:sheetData>
  <x:mergeCells>
    <x:mergeCell ref="A1:D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20" hidden="0" customWidth="1"/>
  </x:cols>
  <x:sheetData>
    <x:row r="1">
      <x:c r="A1" s="5" t="str">
        <x:v>Money-Market Hedge — Three Explicit Steps</x:v>
      </x:c>
      <x:c r="B1" s="5"/>
      <x:c r="C1" s="5"/>
      <x:c r="D1" s="5"/>
      <x:c r="E1" s="5"/>
      <x:c r="F1" s="60"/>
      <x:c r="G1" s="60"/>
      <x:c r="H1" s="60"/>
      <x:c r="I1" s="60"/>
      <x:c r="J1" s="60"/>
      <x:c r="K1" s="60"/>
      <x:c r="L1" s="60"/>
      <x:c r="M1" s="60"/>
      <x:c r="N1" s="60"/>
      <x:c r="O1" s="60"/>
      <x:c r="P1" s="60"/>
      <x:c r="Q1" s="60"/>
    </x:row>
    <x:row r="2">
      <x:c r="A2" s="60"/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</x:row>
    <x:row r="3">
      <x:c r="A3" s="13" t="str">
        <x:v>Item</x:v>
      </x:c>
      <x:c r="B3" s="13" t="str">
        <x:v>Value</x:v>
      </x:c>
      <x:c r="C3" s="60"/>
      <x:c r="D3" s="60"/>
      <x:c r="E3" s="60"/>
      <x:c r="F3" s="60"/>
      <x:c r="G3" s="60"/>
      <x:c r="H3" s="60"/>
      <x:c r="I3" s="60"/>
      <x:c r="J3" s="60"/>
      <x:c r="K3" s="60"/>
      <x:c r="L3" s="60"/>
      <x:c r="M3" s="60"/>
      <x:c r="N3" s="60"/>
      <x:c r="O3" s="60"/>
      <x:c r="P3" s="60"/>
      <x:c r="Q3" s="60"/>
    </x:row>
    <x:row r="4">
      <x:c r="A4" s="60" t="str">
        <x:v>Step 1 — EUR Borrowed Today</x:v>
      </x:c>
      <x:c r="B4" s="80" t="n">
        <x:f>FC_AMT/(1+R_FC*T_DAYS/360)</x:f>
        <x:v>7828937.711014337</x:v>
      </x:c>
      <x:c r="C4" s="60"/>
      <x:c r="D4" s="60"/>
      <x:c r="E4" s="60"/>
      <x:c r="F4" s="60"/>
      <x:c r="G4" s="60"/>
      <x:c r="H4" s="60"/>
      <x:c r="I4" s="60"/>
      <x:c r="J4" s="60"/>
      <x:c r="K4" s="60"/>
      <x:c r="L4" s="60"/>
      <x:c r="M4" s="60"/>
      <x:c r="N4" s="60"/>
      <x:c r="O4" s="60"/>
      <x:c r="P4" s="60"/>
      <x:c r="Q4" s="60"/>
    </x:row>
    <x:row r="5">
      <x:c r="A5" s="60" t="str">
        <x:v>Step 2 — USD Available Today</x:v>
      </x:c>
      <x:c r="B5" s="86" t="n">
        <x:f>B4*S0_in</x:f>
        <x:v>9030679.649655037</x:v>
      </x:c>
      <x:c r="C5" s="60"/>
      <x:c r="D5" s="60"/>
      <x:c r="E5" s="60"/>
      <x:c r="F5" s="60"/>
      <x:c r="G5" s="60"/>
      <x:c r="H5" s="60"/>
      <x:c r="I5" s="60"/>
      <x:c r="J5" s="60"/>
      <x:c r="K5" s="60"/>
      <x:c r="L5" s="60"/>
      <x:c r="M5" s="60"/>
      <x:c r="N5" s="60"/>
      <x:c r="O5" s="60"/>
      <x:c r="P5" s="60"/>
      <x:c r="Q5" s="60"/>
    </x:row>
    <x:row r="6">
      <x:c r="A6" s="60" t="str">
        <x:v>Step 3 — Money-Market USD Proceeds</x:v>
      </x:c>
      <x:c r="B6" s="86" t="n">
        <x:f>B5*(1+R_USD*T_DAYS/360)</x:f>
        <x:v>9397325.243431032</x:v>
      </x:c>
      <x:c r="C6" s="60"/>
      <x:c r="D6" s="60"/>
      <x:c r="E6" s="60"/>
      <x:c r="F6" s="60"/>
      <x:c r="G6" s="60"/>
      <x:c r="H6" s="60"/>
      <x:c r="I6" s="60"/>
      <x:c r="J6" s="60"/>
      <x:c r="K6" s="60"/>
      <x:c r="L6" s="60"/>
      <x:c r="M6" s="60"/>
      <x:c r="N6" s="60"/>
      <x:c r="O6" s="60"/>
      <x:c r="P6" s="60"/>
      <x:c r="Q6" s="60"/>
    </x:row>
    <x:row r="7">
      <x:c r="A7" s="60" t="str"/>
      <x:c r="B7" s="68" t="str"/>
      <x:c r="C7" s="60"/>
      <x:c r="D7" s="60"/>
      <x:c r="E7" s="60"/>
      <x:c r="F7" s="60"/>
      <x:c r="G7" s="60"/>
      <x:c r="H7" s="60"/>
      <x:c r="I7" s="60"/>
      <x:c r="J7" s="60"/>
      <x:c r="K7" s="60"/>
      <x:c r="L7" s="60"/>
      <x:c r="M7" s="60"/>
      <x:c r="N7" s="60"/>
      <x:c r="O7" s="60"/>
      <x:c r="P7" s="60"/>
      <x:c r="Q7" s="60"/>
    </x:row>
    <x:row r="8">
      <x:c r="A8" s="60" t="str">
        <x:v>CIP-Implied Forward</x:v>
      </x:c>
      <x:c r="B8" s="81" t="n">
        <x:f>S0_in*(1+R_USD*T_DAYS/360)/(1+R_FC*T_DAYS/360)</x:f>
        <x:v>1.174665655428879</x:v>
      </x:c>
      <x:c r="C8" s="60"/>
      <x:c r="D8" s="60"/>
      <x:c r="E8" s="60"/>
      <x:c r="F8" s="60"/>
      <x:c r="G8" s="60"/>
      <x:c r="H8" s="60"/>
      <x:c r="I8" s="60"/>
      <x:c r="J8" s="60"/>
      <x:c r="K8" s="60"/>
      <x:c r="L8" s="60"/>
      <x:c r="M8" s="60"/>
      <x:c r="N8" s="60"/>
      <x:c r="O8" s="60"/>
      <x:c r="P8" s="60"/>
      <x:c r="Q8" s="60"/>
    </x:row>
    <x:row r="9">
      <x:c r="A9" s="60" t="str">
        <x:v>Parity Difference</x:v>
      </x:c>
      <x:c r="B9" s="81" t="n">
        <x:f>F0_in-B8</x:f>
        <x:v>0.00003434457112105882</x:v>
      </x:c>
      <x:c r="C9" s="60"/>
      <x:c r="D9" s="60"/>
      <x:c r="E9" s="60"/>
      <x:c r="F9" s="60"/>
      <x:c r="G9" s="60"/>
      <x:c r="H9" s="60"/>
      <x:c r="I9" s="60"/>
      <x:c r="J9" s="60"/>
      <x:c r="K9" s="60"/>
      <x:c r="L9" s="60"/>
      <x:c r="M9" s="60"/>
      <x:c r="N9" s="60"/>
      <x:c r="O9" s="60"/>
      <x:c r="P9" s="60"/>
      <x:c r="Q9" s="60"/>
    </x:row>
    <x:row r="10">
      <x:c r="A10" s="60" t="str">
        <x:v>Parity Difference %</x:v>
      </x:c>
      <x:c r="B10" s="87" t="n">
        <x:f>ABS(F0_in-B8)/F0_in</x:f>
        <x:v>0.000029236886967786513</x:v>
      </x:c>
      <x:c r="C10" s="60"/>
      <x:c r="D10" s="60"/>
      <x:c r="E10" s="60"/>
      <x:c r="F10" s="60"/>
      <x:c r="G10" s="60"/>
      <x:c r="H10" s="60"/>
      <x:c r="I10" s="60"/>
      <x:c r="J10" s="60"/>
      <x:c r="K10" s="60"/>
      <x:c r="L10" s="60"/>
      <x:c r="M10" s="60"/>
      <x:c r="N10" s="60"/>
      <x:c r="O10" s="60"/>
      <x:c r="P10" s="60"/>
      <x:c r="Q10" s="60"/>
    </x:row>
    <x:row r="11">
      <x:c r="A11" s="60" t="str">
        <x:v>Parity Tolerance</x:v>
      </x:c>
      <x:c r="B11" s="88" t="n">
        <x:v>0.001</x:v>
      </x:c>
      <x:c r="C11" s="60"/>
      <x:c r="D11" s="60"/>
      <x:c r="E11" s="60"/>
      <x:c r="F11" s="60"/>
      <x:c r="G11" s="60"/>
      <x:c r="H11" s="60"/>
      <x:c r="I11" s="60"/>
      <x:c r="J11" s="60"/>
      <x:c r="K11" s="60"/>
      <x:c r="L11" s="60"/>
      <x:c r="M11" s="60"/>
      <x:c r="N11" s="60"/>
      <x:c r="O11" s="60"/>
      <x:c r="P11" s="60"/>
      <x:c r="Q11" s="60"/>
    </x:row>
    <x:row r="12">
      <x:c r="A12" s="60" t="str">
        <x:v>Parity Check Status</x:v>
      </x:c>
      <x:c r="B12" s="69" t="str">
        <x:f>IF(B10&lt;=B11,"PASS","REVIEW")</x:f>
        <x:v>PASS</x:v>
      </x:c>
      <x:c r="C12" s="60"/>
      <x:c r="D12" s="60"/>
      <x:c r="E12" s="60"/>
      <x:c r="F12" s="60"/>
      <x:c r="G12" s="60"/>
      <x:c r="H12" s="60"/>
      <x:c r="I12" s="60"/>
      <x:c r="J12" s="60"/>
      <x:c r="K12" s="60"/>
      <x:c r="L12" s="60"/>
      <x:c r="M12" s="60"/>
      <x:c r="N12" s="60"/>
      <x:c r="O12" s="60"/>
      <x:c r="P12" s="60"/>
      <x:c r="Q12" s="60"/>
    </x:row>
    <x:row r="13">
      <x:c r="A13" s="60"/>
      <x:c r="B13" s="60"/>
      <x:c r="C13" s="60"/>
      <x:c r="D13" s="60"/>
      <x:c r="E13" s="60"/>
      <x:c r="F13" s="60"/>
      <x:c r="G13" s="60"/>
      <x:c r="H13" s="60"/>
      <x:c r="I13" s="60"/>
      <x:c r="J13" s="60"/>
      <x:c r="K13" s="60"/>
      <x:c r="L13" s="60"/>
      <x:c r="M13" s="60"/>
      <x:c r="N13" s="60"/>
      <x:c r="O13" s="60"/>
      <x:c r="P13" s="60"/>
      <x:c r="Q13" s="60"/>
    </x:row>
    <x:row r="14">
      <x:c r="A14" s="60"/>
      <x:c r="B14" s="60"/>
      <x:c r="C14" s="60"/>
      <x:c r="D14" s="60"/>
      <x:c r="E14" s="60"/>
      <x:c r="F14" s="60"/>
      <x:c r="G14" s="60"/>
      <x:c r="H14" s="60"/>
      <x:c r="I14" s="60"/>
      <x:c r="J14" s="60"/>
      <x:c r="K14" s="60"/>
      <x:c r="L14" s="60"/>
      <x:c r="M14" s="60"/>
      <x:c r="N14" s="60"/>
      <x:c r="O14" s="60"/>
      <x:c r="P14" s="60"/>
      <x:c r="Q14" s="60"/>
    </x:row>
    <x:row r="15">
      <x:c r="A15" s="60"/>
      <x:c r="B15" s="60"/>
      <x:c r="C15" s="60"/>
      <x:c r="D15" s="60"/>
      <x:c r="E15" s="60"/>
      <x:c r="F15" s="60"/>
      <x:c r="G15" s="60"/>
      <x:c r="H15" s="60"/>
      <x:c r="I15" s="60"/>
      <x:c r="J15" s="60"/>
      <x:c r="K15" s="60"/>
      <x:c r="L15" s="60"/>
      <x:c r="M15" s="60"/>
      <x:c r="N15" s="60"/>
      <x:c r="O15" s="60"/>
      <x:c r="P15" s="60"/>
      <x:c r="Q15" s="60"/>
    </x:row>
    <x:row r="16">
      <x:c r="A16" s="60"/>
      <x:c r="B16" s="60"/>
      <x:c r="C16" s="60"/>
      <x:c r="D16" s="60"/>
      <x:c r="E16" s="60"/>
      <x:c r="F16" s="60"/>
      <x:c r="G16" s="60"/>
      <x:c r="H16" s="60"/>
      <x:c r="I16" s="60"/>
      <x:c r="J16" s="60"/>
      <x:c r="K16" s="60"/>
      <x:c r="L16" s="60"/>
      <x:c r="M16" s="60"/>
      <x:c r="N16" s="60"/>
      <x:c r="O16" s="60"/>
      <x:c r="P16" s="60"/>
      <x:c r="Q16" s="60"/>
    </x:row>
    <x:row r="17">
      <x:c r="A17" s="60"/>
      <x:c r="B17" s="60"/>
      <x:c r="C17" s="60"/>
      <x:c r="D17" s="60"/>
      <x:c r="E17" s="60"/>
      <x:c r="F17" s="60"/>
      <x:c r="G17" s="60"/>
      <x:c r="H17" s="60"/>
      <x:c r="I17" s="60"/>
      <x:c r="J17" s="60"/>
      <x:c r="K17" s="60"/>
      <x:c r="L17" s="60"/>
      <x:c r="M17" s="60"/>
      <x:c r="N17" s="60"/>
      <x:c r="O17" s="60"/>
      <x:c r="P17" s="60"/>
      <x:c r="Q17" s="60"/>
    </x:row>
    <x:row r="18">
      <x:c r="A18" s="60"/>
      <x:c r="B18" s="60"/>
      <x:c r="C18" s="60"/>
      <x:c r="D18" s="60"/>
      <x:c r="E18" s="60"/>
      <x:c r="F18" s="60"/>
      <x:c r="G18" s="60"/>
      <x:c r="H18" s="60"/>
      <x:c r="I18" s="60"/>
      <x:c r="J18" s="60"/>
      <x:c r="K18" s="60"/>
      <x:c r="L18" s="60"/>
      <x:c r="M18" s="60"/>
      <x:c r="N18" s="60"/>
      <x:c r="O18" s="60"/>
      <x:c r="P18" s="60"/>
      <x:c r="Q18" s="60"/>
    </x:row>
    <x:row r="19">
      <x:c r="A19" s="60"/>
      <x:c r="B19" s="60"/>
      <x:c r="C19" s="60"/>
      <x:c r="D19" s="60"/>
      <x:c r="E19" s="60"/>
      <x:c r="F19" s="60"/>
      <x:c r="G19" s="60"/>
      <x:c r="H19" s="60"/>
      <x:c r="I19" s="60"/>
      <x:c r="J19" s="60"/>
      <x:c r="K19" s="60"/>
      <x:c r="L19" s="60"/>
      <x:c r="M19" s="60"/>
      <x:c r="N19" s="60"/>
      <x:c r="O19" s="60"/>
      <x:c r="P19" s="60"/>
      <x:c r="Q19" s="60"/>
    </x:row>
    <x:row r="20">
      <x:c r="A20" s="60"/>
      <x:c r="B20" s="60"/>
      <x:c r="C20" s="60"/>
      <x:c r="D20" s="60"/>
      <x:c r="E20" s="60"/>
      <x:c r="F20" s="60"/>
      <x:c r="G20" s="60"/>
      <x:c r="H20" s="60"/>
      <x:c r="I20" s="60"/>
      <x:c r="J20" s="60"/>
      <x:c r="K20" s="60"/>
      <x:c r="L20" s="60"/>
      <x:c r="M20" s="60"/>
      <x:c r="N20" s="60"/>
      <x:c r="O20" s="60"/>
      <x:c r="P20" s="60"/>
      <x:c r="Q20" s="60"/>
    </x:row>
    <x:row r="21">
      <x:c r="A21" s="60"/>
      <x:c r="B21" s="60"/>
      <x:c r="C21" s="60"/>
      <x:c r="D21" s="60"/>
      <x:c r="E21" s="60"/>
      <x:c r="F21" s="60"/>
      <x:c r="G21" s="60"/>
      <x:c r="H21" s="60"/>
      <x:c r="I21" s="60"/>
      <x:c r="J21" s="60"/>
      <x:c r="K21" s="60"/>
      <x:c r="L21" s="60"/>
      <x:c r="M21" s="60"/>
      <x:c r="N21" s="60"/>
      <x:c r="O21" s="60"/>
      <x:c r="P21" s="60"/>
      <x:c r="Q21" s="60"/>
    </x:row>
    <x:row r="22">
      <x:c r="A22" s="60"/>
      <x:c r="B22" s="60"/>
      <x:c r="C22" s="60"/>
      <x:c r="D22" s="60"/>
      <x:c r="E22" s="60"/>
      <x:c r="F22" s="60"/>
      <x:c r="G22" s="60"/>
      <x:c r="H22" s="60"/>
      <x:c r="I22" s="60"/>
      <x:c r="J22" s="60"/>
      <x:c r="K22" s="60"/>
      <x:c r="L22" s="60"/>
      <x:c r="M22" s="60"/>
      <x:c r="N22" s="60"/>
      <x:c r="O22" s="60"/>
      <x:c r="P22" s="60"/>
      <x:c r="Q22" s="60"/>
    </x:row>
    <x:row r="23">
      <x:c r="A23" s="60"/>
      <x:c r="B23" s="60"/>
      <x:c r="C23" s="60"/>
      <x:c r="D23" s="60"/>
      <x:c r="E23" s="60"/>
      <x:c r="F23" s="60"/>
      <x:c r="G23" s="60"/>
      <x:c r="H23" s="60"/>
      <x:c r="I23" s="60"/>
      <x:c r="J23" s="60"/>
      <x:c r="K23" s="60"/>
      <x:c r="L23" s="60"/>
      <x:c r="M23" s="60"/>
      <x:c r="N23" s="60"/>
      <x:c r="O23" s="60"/>
      <x:c r="P23" s="60"/>
      <x:c r="Q23" s="60"/>
    </x:row>
    <x:row r="24">
      <x:c r="A24" s="60"/>
      <x:c r="B24" s="60"/>
      <x:c r="C24" s="60"/>
      <x:c r="D24" s="60"/>
      <x:c r="E24" s="60"/>
      <x:c r="F24" s="60"/>
      <x:c r="G24" s="60"/>
      <x:c r="H24" s="60"/>
      <x:c r="I24" s="60"/>
      <x:c r="J24" s="60"/>
      <x:c r="K24" s="60"/>
      <x:c r="L24" s="60"/>
      <x:c r="M24" s="60"/>
      <x:c r="N24" s="60"/>
      <x:c r="O24" s="60"/>
      <x:c r="P24" s="60"/>
      <x:c r="Q24" s="60"/>
    </x:row>
    <x:row r="25">
      <x:c r="A25" s="60"/>
      <x:c r="B25" s="60"/>
      <x:c r="C25" s="60"/>
      <x:c r="D25" s="60"/>
      <x:c r="E25" s="60"/>
      <x:c r="F25" s="60"/>
      <x:c r="G25" s="60"/>
      <x:c r="H25" s="60"/>
      <x:c r="I25" s="60"/>
      <x:c r="J25" s="60"/>
      <x:c r="K25" s="60"/>
      <x:c r="L25" s="60"/>
      <x:c r="M25" s="60"/>
      <x:c r="N25" s="60"/>
      <x:c r="O25" s="60"/>
      <x:c r="P25" s="60"/>
      <x:c r="Q25" s="60"/>
    </x:row>
    <x:row r="26">
      <x:c r="A26" s="60"/>
      <x:c r="B26" s="60"/>
      <x:c r="C26" s="60"/>
      <x:c r="D26" s="60"/>
      <x:c r="E26" s="60"/>
      <x:c r="F26" s="60"/>
      <x:c r="G26" s="60"/>
      <x:c r="H26" s="60"/>
      <x:c r="I26" s="60"/>
      <x:c r="J26" s="60"/>
      <x:c r="K26" s="60"/>
      <x:c r="L26" s="60"/>
      <x:c r="M26" s="60"/>
      <x:c r="N26" s="60"/>
      <x:c r="O26" s="60"/>
      <x:c r="P26" s="60"/>
      <x:c r="Q26" s="60"/>
    </x:row>
    <x:row r="27">
      <x:c r="A27" s="60"/>
      <x:c r="B27" s="60"/>
      <x:c r="C27" s="60"/>
      <x:c r="D27" s="60"/>
      <x:c r="E27" s="60"/>
      <x:c r="F27" s="60"/>
      <x:c r="G27" s="60"/>
      <x:c r="H27" s="60"/>
      <x:c r="I27" s="60"/>
      <x:c r="J27" s="60"/>
      <x:c r="K27" s="60"/>
      <x:c r="L27" s="60"/>
      <x:c r="M27" s="60"/>
      <x:c r="N27" s="60"/>
      <x:c r="O27" s="60"/>
      <x:c r="P27" s="60"/>
      <x:c r="Q27" s="60"/>
    </x:row>
    <x:row r="28">
      <x:c r="A28" s="60"/>
      <x:c r="B28" s="60"/>
      <x:c r="C28" s="60"/>
      <x:c r="D28" s="60"/>
      <x:c r="E28" s="60"/>
      <x:c r="F28" s="60"/>
      <x:c r="G28" s="60"/>
      <x:c r="H28" s="60"/>
      <x:c r="I28" s="60"/>
      <x:c r="J28" s="60"/>
      <x:c r="K28" s="60"/>
      <x:c r="L28" s="60"/>
      <x:c r="M28" s="60"/>
      <x:c r="N28" s="60"/>
      <x:c r="O28" s="60"/>
      <x:c r="P28" s="60"/>
      <x:c r="Q28" s="60"/>
    </x:row>
    <x:row r="29">
      <x:c r="A29" s="60"/>
      <x:c r="B29" s="60"/>
      <x:c r="C29" s="60"/>
      <x:c r="D29" s="60"/>
      <x:c r="E29" s="60"/>
      <x:c r="F29" s="60"/>
      <x:c r="G29" s="60"/>
      <x:c r="H29" s="60"/>
      <x:c r="I29" s="60"/>
      <x:c r="J29" s="60"/>
      <x:c r="K29" s="60"/>
      <x:c r="L29" s="60"/>
      <x:c r="M29" s="60"/>
      <x:c r="N29" s="60"/>
      <x:c r="O29" s="60"/>
      <x:c r="P29" s="60"/>
      <x:c r="Q29" s="60"/>
    </x:row>
    <x:row r="30">
      <x:c r="A30" s="60"/>
      <x:c r="B30" s="60"/>
      <x:c r="C30" s="60"/>
      <x:c r="D30" s="60"/>
      <x:c r="E30" s="60"/>
      <x:c r="F30" s="60"/>
      <x:c r="G30" s="60"/>
      <x:c r="H30" s="60"/>
      <x:c r="I30" s="60"/>
      <x:c r="J30" s="60"/>
      <x:c r="K30" s="60"/>
      <x:c r="L30" s="60"/>
      <x:c r="M30" s="60"/>
      <x:c r="N30" s="60"/>
      <x:c r="O30" s="60"/>
      <x:c r="P30" s="60"/>
      <x:c r="Q30" s="60"/>
    </x:row>
  </x:sheetData>
  <x:mergeCells>
    <x:mergeCell ref="A1:E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0" hidden="0" customWidth="1"/>
  </x:cols>
  <x:sheetData>
    <x:row r="1">
      <x:c r="A1" s="5" t="str">
        <x:v>Options Hedge</x:v>
      </x:c>
      <x:c r="B1" s="5"/>
      <x:c r="C1" s="5"/>
      <x:c r="D1" s="5"/>
      <x:c r="E1" s="60"/>
      <x:c r="F1" s="60"/>
      <x:c r="G1" s="60"/>
      <x:c r="H1" s="60"/>
      <x:c r="I1" s="60"/>
      <x:c r="J1" s="60"/>
      <x:c r="K1" s="60"/>
      <x:c r="L1" s="60"/>
      <x:c r="M1" s="60"/>
      <x:c r="N1" s="60"/>
      <x:c r="O1" s="60"/>
      <x:c r="P1" s="60"/>
      <x:c r="Q1" s="60"/>
    </x:row>
    <x:row r="2">
      <x:c r="A2" s="60"/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</x:row>
    <x:row r="3">
      <x:c r="A3" s="13" t="str">
        <x:v>Item</x:v>
      </x:c>
      <x:c r="B3" s="13" t="str">
        <x:v>Value</x:v>
      </x:c>
      <x:c r="C3" s="60"/>
      <x:c r="D3" s="60"/>
      <x:c r="E3" s="60"/>
      <x:c r="F3" s="60"/>
      <x:c r="G3" s="60"/>
      <x:c r="H3" s="60"/>
      <x:c r="I3" s="60"/>
      <x:c r="J3" s="60"/>
      <x:c r="K3" s="60"/>
      <x:c r="L3" s="60"/>
      <x:c r="M3" s="60"/>
      <x:c r="N3" s="60"/>
      <x:c r="O3" s="60"/>
      <x:c r="P3" s="60"/>
      <x:c r="Q3" s="60"/>
    </x:row>
    <x:row r="4">
      <x:c r="A4" s="60" t="str">
        <x:v>Ending Spot S_T (base case)</x:v>
      </x:c>
      <x:c r="B4" s="81" t="n">
        <x:f>S0_in</x:f>
        <x:v>1.1535</x:v>
      </x:c>
      <x:c r="C4" s="60"/>
      <x:c r="D4" s="60"/>
      <x:c r="E4" s="60"/>
      <x:c r="F4" s="60"/>
      <x:c r="G4" s="60"/>
      <x:c r="H4" s="60"/>
      <x:c r="I4" s="60"/>
      <x:c r="J4" s="60"/>
      <x:c r="K4" s="60"/>
      <x:c r="L4" s="60"/>
      <x:c r="M4" s="60"/>
      <x:c r="N4" s="60"/>
      <x:c r="O4" s="60"/>
      <x:c r="P4" s="60"/>
      <x:c r="Q4" s="60"/>
    </x:row>
    <x:row r="5">
      <x:c r="A5" s="60" t="str"/>
      <x:c r="B5" s="81" t="str"/>
      <x:c r="C5" s="60"/>
      <x:c r="D5" s="60"/>
      <x:c r="E5" s="60"/>
      <x:c r="F5" s="60"/>
      <x:c r="G5" s="60"/>
      <x:c r="H5" s="60"/>
      <x:c r="I5" s="60"/>
      <x:c r="J5" s="60"/>
      <x:c r="K5" s="60"/>
      <x:c r="L5" s="60"/>
      <x:c r="M5" s="60"/>
      <x:c r="N5" s="60"/>
      <x:c r="O5" s="60"/>
      <x:c r="P5" s="60"/>
      <x:c r="Q5" s="60"/>
    </x:row>
    <x:row r="6">
      <x:c r="A6" s="60" t="str">
        <x:v>Put Gross Conversion Rate</x:v>
      </x:c>
      <x:c r="B6" s="81" t="n">
        <x:f>MAX(K_PUT,B4)</x:f>
        <x:v>1.1535</x:v>
      </x:c>
      <x:c r="C6" s="60"/>
      <x:c r="D6" s="60"/>
      <x:c r="E6" s="60"/>
      <x:c r="F6" s="60"/>
      <x:c r="G6" s="60"/>
      <x:c r="H6" s="60"/>
      <x:c r="I6" s="60"/>
      <x:c r="J6" s="60"/>
      <x:c r="K6" s="60"/>
      <x:c r="L6" s="60"/>
      <x:c r="M6" s="60"/>
      <x:c r="N6" s="60"/>
      <x:c r="O6" s="60"/>
      <x:c r="P6" s="60"/>
      <x:c r="Q6" s="60"/>
    </x:row>
    <x:row r="7">
      <x:c r="A7" s="60" t="str">
        <x:v>Put Gross USD Proceeds</x:v>
      </x:c>
      <x:c r="B7" s="86" t="n">
        <x:f>FC_AMT*MAX(K_PUT,B4)</x:f>
        <x:v>9228000</x:v>
      </x:c>
      <x:c r="C7" s="60"/>
      <x:c r="D7" s="60"/>
      <x:c r="E7" s="60"/>
      <x:c r="F7" s="60"/>
      <x:c r="G7" s="60"/>
      <x:c r="H7" s="60"/>
      <x:c r="I7" s="60"/>
      <x:c r="J7" s="60"/>
      <x:c r="K7" s="60"/>
      <x:c r="L7" s="60"/>
      <x:c r="M7" s="60"/>
      <x:c r="N7" s="60"/>
      <x:c r="O7" s="60"/>
      <x:c r="P7" s="60"/>
      <x:c r="Q7" s="60"/>
    </x:row>
    <x:row r="8">
      <x:c r="A8" s="60" t="str">
        <x:v>Put Premium Paid Today</x:v>
      </x:c>
      <x:c r="B8" s="86" t="n">
        <x:f>FC_AMT*PREM_PUT</x:f>
        <x:v>160000</x:v>
      </x:c>
      <x:c r="C8" s="60"/>
      <x:c r="D8" s="60"/>
      <x:c r="E8" s="60"/>
      <x:c r="F8" s="60"/>
      <x:c r="G8" s="60"/>
      <x:c r="H8" s="60"/>
      <x:c r="I8" s="60"/>
      <x:c r="J8" s="60"/>
      <x:c r="K8" s="60"/>
      <x:c r="L8" s="60"/>
      <x:c r="M8" s="60"/>
      <x:c r="N8" s="60"/>
      <x:c r="O8" s="60"/>
      <x:c r="P8" s="60"/>
      <x:c r="Q8" s="60"/>
    </x:row>
    <x:row r="9">
      <x:c r="A9" s="60" t="str">
        <x:v>Put Premium at Maturity</x:v>
      </x:c>
      <x:c r="B9" s="86" t="n">
        <x:f>FC_AMT*PREM_PUT</x:f>
        <x:v>160000</x:v>
      </x:c>
      <x:c r="C9" s="60"/>
      <x:c r="D9" s="60"/>
      <x:c r="E9" s="60"/>
      <x:c r="F9" s="60"/>
      <x:c r="G9" s="60"/>
      <x:c r="H9" s="60"/>
      <x:c r="I9" s="60"/>
      <x:c r="J9" s="60"/>
      <x:c r="K9" s="60"/>
      <x:c r="L9" s="60"/>
      <x:c r="M9" s="60"/>
      <x:c r="N9" s="60"/>
      <x:c r="O9" s="60"/>
      <x:c r="P9" s="60"/>
      <x:c r="Q9" s="60"/>
    </x:row>
    <x:row r="10">
      <x:c r="A10" s="60" t="str">
        <x:v>Put Net USD Proceeds</x:v>
      </x:c>
      <x:c r="B10" s="82" t="n">
        <x:f>FC_AMT*MAX(K_PUT,B4)-B8</x:f>
        <x:v>9068000</x:v>
      </x:c>
      <x:c r="C10" s="60"/>
      <x:c r="D10" s="60"/>
      <x:c r="E10" s="60"/>
      <x:c r="F10" s="60"/>
      <x:c r="G10" s="60"/>
      <x:c r="H10" s="60"/>
      <x:c r="I10" s="60"/>
      <x:c r="J10" s="60"/>
      <x:c r="K10" s="60"/>
      <x:c r="L10" s="60"/>
      <x:c r="M10" s="60"/>
      <x:c r="N10" s="60"/>
      <x:c r="O10" s="60"/>
      <x:c r="P10" s="60"/>
      <x:c r="Q10" s="60"/>
    </x:row>
    <x:row r="11">
      <x:c r="A11" s="60" t="str"/>
      <x:c r="B11" s="68" t="str"/>
      <x:c r="C11" s="60"/>
      <x:c r="D11" s="60"/>
      <x:c r="E11" s="60"/>
      <x:c r="F11" s="60"/>
      <x:c r="G11" s="60"/>
      <x:c r="H11" s="60"/>
      <x:c r="I11" s="60"/>
      <x:c r="J11" s="60"/>
      <x:c r="K11" s="60"/>
      <x:c r="L11" s="60"/>
      <x:c r="M11" s="60"/>
      <x:c r="N11" s="60"/>
      <x:c r="O11" s="60"/>
      <x:c r="P11" s="60"/>
      <x:c r="Q11" s="60"/>
    </x:row>
    <x:row r="12">
      <x:c r="A12" s="60" t="str">
        <x:v>Call Payoff per EUR</x:v>
      </x:c>
      <x:c r="B12" s="81" t="n">
        <x:f>MAX(B4-K_CALL,0)</x:f>
        <x:v>0</x:v>
      </x:c>
      <x:c r="C12" s="60"/>
      <x:c r="D12" s="60"/>
      <x:c r="E12" s="60"/>
      <x:c r="F12" s="60"/>
      <x:c r="G12" s="60"/>
      <x:c r="H12" s="60"/>
      <x:c r="I12" s="60"/>
      <x:c r="J12" s="60"/>
      <x:c r="K12" s="60"/>
      <x:c r="L12" s="60"/>
      <x:c r="M12" s="60"/>
      <x:c r="N12" s="60"/>
      <x:c r="O12" s="60"/>
      <x:c r="P12" s="60"/>
      <x:c r="Q12" s="60"/>
    </x:row>
    <x:row r="13">
      <x:c r="A13" s="60" t="str">
        <x:v>Call Gross USD Proceeds</x:v>
      </x:c>
      <x:c r="B13" s="86" t="n">
        <x:f>FC_AMT*B4+FC_AMT*MAX(B4-K_CALL,0)</x:f>
        <x:v>9228000</x:v>
      </x:c>
      <x:c r="C13" s="60"/>
      <x:c r="D13" s="60"/>
      <x:c r="E13" s="60"/>
      <x:c r="F13" s="60"/>
      <x:c r="G13" s="60"/>
      <x:c r="H13" s="60"/>
      <x:c r="I13" s="60"/>
      <x:c r="J13" s="60"/>
      <x:c r="K13" s="60"/>
      <x:c r="L13" s="60"/>
      <x:c r="M13" s="60"/>
      <x:c r="N13" s="60"/>
      <x:c r="O13" s="60"/>
      <x:c r="P13" s="60"/>
      <x:c r="Q13" s="60"/>
    </x:row>
    <x:row r="14">
      <x:c r="A14" s="60" t="str">
        <x:v>Call Premium Paid Today</x:v>
      </x:c>
      <x:c r="B14" s="86" t="n">
        <x:f>FC_AMT*PREM_CALL</x:f>
        <x:v>160000</x:v>
      </x:c>
      <x:c r="C14" s="60"/>
      <x:c r="D14" s="60"/>
      <x:c r="E14" s="60"/>
      <x:c r="F14" s="60"/>
      <x:c r="G14" s="60"/>
      <x:c r="H14" s="60"/>
      <x:c r="I14" s="60"/>
      <x:c r="J14" s="60"/>
      <x:c r="K14" s="60"/>
      <x:c r="L14" s="60"/>
      <x:c r="M14" s="60"/>
      <x:c r="N14" s="60"/>
      <x:c r="O14" s="60"/>
      <x:c r="P14" s="60"/>
      <x:c r="Q14" s="60"/>
    </x:row>
    <x:row r="15">
      <x:c r="A15" s="60" t="str">
        <x:v>Call Premium at Maturity</x:v>
      </x:c>
      <x:c r="B15" s="86" t="n">
        <x:f>FC_AMT*PREM_CALL</x:f>
        <x:v>160000</x:v>
      </x:c>
      <x:c r="C15" s="60"/>
      <x:c r="D15" s="60"/>
      <x:c r="E15" s="60"/>
      <x:c r="F15" s="60"/>
      <x:c r="G15" s="60"/>
      <x:c r="H15" s="60"/>
      <x:c r="I15" s="60"/>
      <x:c r="J15" s="60"/>
      <x:c r="K15" s="60"/>
      <x:c r="L15" s="60"/>
      <x:c r="M15" s="60"/>
      <x:c r="N15" s="60"/>
      <x:c r="O15" s="60"/>
      <x:c r="P15" s="60"/>
      <x:c r="Q15" s="60"/>
    </x:row>
    <x:row r="16">
      <x:c r="A16" s="60"/>
      <x:c r="B16" s="92"/>
      <x:c r="C16" s="60"/>
      <x:c r="D16" s="60"/>
      <x:c r="E16" s="60"/>
      <x:c r="F16" s="60"/>
      <x:c r="G16" s="60"/>
      <x:c r="H16" s="60"/>
      <x:c r="I16" s="60"/>
      <x:c r="J16" s="60"/>
      <x:c r="K16" s="60"/>
      <x:c r="L16" s="60"/>
      <x:c r="M16" s="60"/>
      <x:c r="N16" s="60"/>
      <x:c r="O16" s="60"/>
      <x:c r="P16" s="60"/>
      <x:c r="Q16" s="60"/>
    </x:row>
    <x:row r="17">
      <x:c r="A17" s="60" t="str">
        <x:v>Call Net USD Proceeds</x:v>
      </x:c>
      <x:c r="B17" s="82" t="n">
        <x:f>FC_AMT*B4+FC_AMT*MAX(B4-K_CALL,0)-B14</x:f>
        <x:v>9068000</x:v>
      </x:c>
      <x:c r="C17" s="60"/>
      <x:c r="D17" s="60"/>
      <x:c r="E17" s="60"/>
      <x:c r="F17" s="60"/>
      <x:c r="G17" s="60"/>
      <x:c r="H17" s="60"/>
      <x:c r="I17" s="60"/>
      <x:c r="J17" s="60"/>
      <x:c r="K17" s="60"/>
      <x:c r="L17" s="60"/>
      <x:c r="M17" s="60"/>
      <x:c r="N17" s="60"/>
      <x:c r="O17" s="60"/>
      <x:c r="P17" s="60"/>
      <x:c r="Q17" s="60"/>
    </x:row>
    <x:row r="18">
      <x:c r="A18" s="60"/>
      <x:c r="B18" s="60"/>
      <x:c r="C18" s="60"/>
      <x:c r="D18" s="60"/>
      <x:c r="E18" s="60"/>
      <x:c r="F18" s="60"/>
      <x:c r="G18" s="60"/>
      <x:c r="H18" s="60"/>
      <x:c r="I18" s="60"/>
      <x:c r="J18" s="60"/>
      <x:c r="K18" s="60"/>
      <x:c r="L18" s="60"/>
      <x:c r="M18" s="60"/>
      <x:c r="N18" s="60"/>
      <x:c r="O18" s="60"/>
      <x:c r="P18" s="60"/>
      <x:c r="Q18" s="60"/>
    </x:row>
    <x:row r="19">
      <x:c r="A19" s="60"/>
      <x:c r="B19" s="60"/>
      <x:c r="C19" s="60"/>
      <x:c r="D19" s="60"/>
      <x:c r="E19" s="60"/>
      <x:c r="F19" s="60"/>
      <x:c r="G19" s="60"/>
      <x:c r="H19" s="60"/>
      <x:c r="I19" s="60"/>
      <x:c r="J19" s="60"/>
      <x:c r="K19" s="60"/>
      <x:c r="L19" s="60"/>
      <x:c r="M19" s="60"/>
      <x:c r="N19" s="60"/>
      <x:c r="O19" s="60"/>
      <x:c r="P19" s="60"/>
      <x:c r="Q19" s="60"/>
    </x:row>
    <x:row r="20">
      <x:c r="A20" s="60"/>
      <x:c r="B20" s="60"/>
      <x:c r="C20" s="60"/>
      <x:c r="D20" s="60"/>
      <x:c r="E20" s="60"/>
      <x:c r="F20" s="60"/>
      <x:c r="G20" s="60"/>
      <x:c r="H20" s="60"/>
      <x:c r="I20" s="60"/>
      <x:c r="J20" s="60"/>
      <x:c r="K20" s="60"/>
      <x:c r="L20" s="60"/>
      <x:c r="M20" s="60"/>
      <x:c r="N20" s="60"/>
      <x:c r="O20" s="60"/>
      <x:c r="P20" s="60"/>
      <x:c r="Q20" s="60"/>
    </x:row>
    <x:row r="21">
      <x:c r="A21" s="60"/>
      <x:c r="B21" s="60"/>
      <x:c r="C21" s="60"/>
      <x:c r="D21" s="60"/>
      <x:c r="E21" s="60"/>
      <x:c r="F21" s="60"/>
      <x:c r="G21" s="60"/>
      <x:c r="H21" s="60"/>
      <x:c r="I21" s="60"/>
      <x:c r="J21" s="60"/>
      <x:c r="K21" s="60"/>
      <x:c r="L21" s="60"/>
      <x:c r="M21" s="60"/>
      <x:c r="N21" s="60"/>
      <x:c r="O21" s="60"/>
      <x:c r="P21" s="60"/>
      <x:c r="Q21" s="60"/>
    </x:row>
    <x:row r="22">
      <x:c r="A22" s="60"/>
      <x:c r="B22" s="60"/>
      <x:c r="C22" s="60"/>
      <x:c r="D22" s="60"/>
      <x:c r="E22" s="60"/>
      <x:c r="F22" s="60"/>
      <x:c r="G22" s="60"/>
      <x:c r="H22" s="60"/>
      <x:c r="I22" s="60"/>
      <x:c r="J22" s="60"/>
      <x:c r="K22" s="60"/>
      <x:c r="L22" s="60"/>
      <x:c r="M22" s="60"/>
      <x:c r="N22" s="60"/>
      <x:c r="O22" s="60"/>
      <x:c r="P22" s="60"/>
      <x:c r="Q22" s="60"/>
    </x:row>
    <x:row r="23">
      <x:c r="A23" s="60"/>
      <x:c r="B23" s="60"/>
      <x:c r="C23" s="60"/>
      <x:c r="D23" s="60"/>
      <x:c r="E23" s="60"/>
      <x:c r="F23" s="60"/>
      <x:c r="G23" s="60"/>
      <x:c r="H23" s="60"/>
      <x:c r="I23" s="60"/>
      <x:c r="J23" s="60"/>
      <x:c r="K23" s="60"/>
      <x:c r="L23" s="60"/>
      <x:c r="M23" s="60"/>
      <x:c r="N23" s="60"/>
      <x:c r="O23" s="60"/>
      <x:c r="P23" s="60"/>
      <x:c r="Q23" s="60"/>
    </x:row>
    <x:row r="24">
      <x:c r="A24" s="60"/>
      <x:c r="B24" s="60"/>
      <x:c r="C24" s="60"/>
      <x:c r="D24" s="60"/>
      <x:c r="E24" s="60"/>
      <x:c r="F24" s="60"/>
      <x:c r="G24" s="60"/>
      <x:c r="H24" s="60"/>
      <x:c r="I24" s="60"/>
      <x:c r="J24" s="60"/>
      <x:c r="K24" s="60"/>
      <x:c r="L24" s="60"/>
      <x:c r="M24" s="60"/>
      <x:c r="N24" s="60"/>
      <x:c r="O24" s="60"/>
      <x:c r="P24" s="60"/>
      <x:c r="Q24" s="60"/>
    </x:row>
    <x:row r="25">
      <x:c r="A25" s="60"/>
      <x:c r="B25" s="60"/>
      <x:c r="C25" s="60"/>
      <x:c r="D25" s="60"/>
      <x:c r="E25" s="60"/>
      <x:c r="F25" s="60"/>
      <x:c r="G25" s="60"/>
      <x:c r="H25" s="60"/>
      <x:c r="I25" s="60"/>
      <x:c r="J25" s="60"/>
      <x:c r="K25" s="60"/>
      <x:c r="L25" s="60"/>
      <x:c r="M25" s="60"/>
      <x:c r="N25" s="60"/>
      <x:c r="O25" s="60"/>
      <x:c r="P25" s="60"/>
      <x:c r="Q25" s="60"/>
    </x:row>
    <x:row r="26">
      <x:c r="A26" s="60"/>
      <x:c r="B26" s="60"/>
      <x:c r="C26" s="60"/>
      <x:c r="D26" s="60"/>
      <x:c r="E26" s="60"/>
      <x:c r="F26" s="60"/>
      <x:c r="G26" s="60"/>
      <x:c r="H26" s="60"/>
      <x:c r="I26" s="60"/>
      <x:c r="J26" s="60"/>
      <x:c r="K26" s="60"/>
      <x:c r="L26" s="60"/>
      <x:c r="M26" s="60"/>
      <x:c r="N26" s="60"/>
      <x:c r="O26" s="60"/>
      <x:c r="P26" s="60"/>
      <x:c r="Q26" s="60"/>
    </x:row>
    <x:row r="27">
      <x:c r="A27" s="60"/>
      <x:c r="B27" s="60"/>
      <x:c r="C27" s="60"/>
      <x:c r="D27" s="60"/>
      <x:c r="E27" s="60"/>
      <x:c r="F27" s="60"/>
      <x:c r="G27" s="60"/>
      <x:c r="H27" s="60"/>
      <x:c r="I27" s="60"/>
      <x:c r="J27" s="60"/>
      <x:c r="K27" s="60"/>
      <x:c r="L27" s="60"/>
      <x:c r="M27" s="60"/>
      <x:c r="N27" s="60"/>
      <x:c r="O27" s="60"/>
      <x:c r="P27" s="60"/>
      <x:c r="Q27" s="60"/>
    </x:row>
    <x:row r="28">
      <x:c r="A28" s="60"/>
      <x:c r="B28" s="60"/>
      <x:c r="C28" s="60"/>
      <x:c r="D28" s="60"/>
      <x:c r="E28" s="60"/>
      <x:c r="F28" s="60"/>
      <x:c r="G28" s="60"/>
      <x:c r="H28" s="60"/>
      <x:c r="I28" s="60"/>
      <x:c r="J28" s="60"/>
      <x:c r="K28" s="60"/>
      <x:c r="L28" s="60"/>
      <x:c r="M28" s="60"/>
      <x:c r="N28" s="60"/>
      <x:c r="O28" s="60"/>
      <x:c r="P28" s="60"/>
      <x:c r="Q28" s="60"/>
    </x:row>
    <x:row r="29">
      <x:c r="A29" s="60"/>
      <x:c r="B29" s="60"/>
      <x:c r="C29" s="60"/>
      <x:c r="D29" s="60"/>
      <x:c r="E29" s="60"/>
      <x:c r="F29" s="60"/>
      <x:c r="G29" s="60"/>
      <x:c r="H29" s="60"/>
      <x:c r="I29" s="60"/>
      <x:c r="J29" s="60"/>
      <x:c r="K29" s="60"/>
      <x:c r="L29" s="60"/>
      <x:c r="M29" s="60"/>
      <x:c r="N29" s="60"/>
      <x:c r="O29" s="60"/>
      <x:c r="P29" s="60"/>
      <x:c r="Q29" s="60"/>
    </x:row>
    <x:row r="30">
      <x:c r="A30" s="60"/>
      <x:c r="B30" s="60"/>
      <x:c r="C30" s="60"/>
      <x:c r="D30" s="60"/>
      <x:c r="E30" s="60"/>
      <x:c r="F30" s="60"/>
      <x:c r="G30" s="60"/>
      <x:c r="H30" s="60"/>
      <x:c r="I30" s="60"/>
      <x:c r="J30" s="60"/>
      <x:c r="K30" s="60"/>
      <x:c r="L30" s="60"/>
      <x:c r="M30" s="60"/>
      <x:c r="N30" s="60"/>
      <x:c r="O30" s="60"/>
      <x:c r="P30" s="60"/>
      <x:c r="Q30" s="60"/>
    </x:row>
  </x:sheetData>
  <x:mergeCells>
    <x:mergeCell ref="A1:D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>
      <x:c r="A1" s="5" t="str">
        <x:v>FX Hedge Sensitivity Analysis</x:v>
      </x:c>
      <x:c r="B1" s="5"/>
      <x:c r="C1" s="5"/>
      <x:c r="D1" s="5"/>
      <x:c r="E1" s="5"/>
      <x:c r="F1" s="5"/>
      <x:c r="G1" s="5"/>
      <x:c r="H1" s="60"/>
      <x:c r="I1" s="60"/>
      <x:c r="J1" s="60"/>
      <x:c r="K1" s="60"/>
      <x:c r="L1" s="60"/>
      <x:c r="M1" s="60"/>
      <x:c r="N1" s="60"/>
      <x:c r="O1" s="60"/>
      <x:c r="P1" s="60"/>
      <x:c r="Q1" s="60"/>
    </x:row>
    <x:row r="2">
      <x:c r="A2" s="60"/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</x:row>
    <x:row r="3">
      <x:c r="A3" s="13" t="str">
        <x:v>Spot Change %</x:v>
      </x:c>
      <x:c r="B3" s="13" t="str">
        <x:v>Ending Spot S_T</x:v>
      </x:c>
      <x:c r="C3" s="13" t="str">
        <x:v>Unhedged USD Proceeds</x:v>
      </x:c>
      <x:c r="D3" s="13" t="str">
        <x:v>Forward USD Proceeds</x:v>
      </x:c>
      <x:c r="E3" s="13" t="str">
        <x:v>Money-Market USD Proceeds</x:v>
      </x:c>
      <x:c r="F3" s="13" t="str">
        <x:v>Put Net USD Proceeds</x:v>
      </x:c>
      <x:c r="G3" s="13" t="str">
        <x:v>Call Net USD Proceeds</x:v>
      </x:c>
      <x:c r="H3" s="60"/>
      <x:c r="I3" s="60"/>
      <x:c r="J3" s="60"/>
      <x:c r="K3" s="60"/>
      <x:c r="L3" s="60"/>
      <x:c r="M3" s="60"/>
      <x:c r="N3" s="60"/>
      <x:c r="O3" s="60"/>
      <x:c r="P3" s="60"/>
      <x:c r="Q3" s="60"/>
    </x:row>
    <x:row r="4">
      <x:c r="A4" s="94" t="n">
        <x:v>-0.05</x:v>
      </x:c>
      <x:c r="B4" s="81" t="n">
        <x:f>S0_in*(1+A4)</x:f>
        <x:v>1.0958249999999998</x:v>
      </x:c>
      <x:c r="C4" s="86" t="n">
        <x:f>FC_AMT*B4</x:f>
        <x:v>8766599.999999998</x:v>
      </x:c>
      <x:c r="D4" s="86" t="n">
        <x:f>FC_AMT*F0_in</x:f>
        <x:v>9397600</x:v>
      </x:c>
      <x:c r="E4" s="86" t="n">
        <x:f>FC_AMT/(1+R_FC*T_DAYS/360)*S0_in*(1+R_USD*T_DAYS/360)</x:f>
        <x:v>9397325.243431032</x:v>
      </x:c>
      <x:c r="F4" s="86" t="n">
        <x:f>FC_AMT*MAX(K_PUT,B4)-FC_AMT*PREM_PUT</x:f>
        <x:v>9068000</x:v>
      </x:c>
      <x:c r="G4" s="86" t="n">
        <x:f>FC_AMT*B4+FC_AMT*MAX(B4-K_CALL,0)-FC_AMT*PREM_CALL</x:f>
        <x:v>8606599.999999998</x:v>
      </x:c>
      <x:c r="H4" s="60"/>
      <x:c r="I4" s="60"/>
      <x:c r="J4" s="60"/>
      <x:c r="K4" s="60"/>
      <x:c r="L4" s="60"/>
      <x:c r="M4" s="60"/>
      <x:c r="N4" s="60"/>
      <x:c r="O4" s="60"/>
      <x:c r="P4" s="60"/>
      <x:c r="Q4" s="60"/>
    </x:row>
    <x:row r="5">
      <x:c r="A5" s="94" t="n">
        <x:v>-0.04</x:v>
      </x:c>
      <x:c r="B5" s="81" t="n">
        <x:f>S0_in*(1+A5)</x:f>
        <x:v>1.10736</x:v>
      </x:c>
      <x:c r="C5" s="86" t="n">
        <x:f>FC_AMT*B5</x:f>
        <x:v>8858880</x:v>
      </x:c>
      <x:c r="D5" s="86" t="n">
        <x:f>FC_AMT*F0_in</x:f>
        <x:v>9397600</x:v>
      </x:c>
      <x:c r="E5" s="86" t="n">
        <x:f>FC_AMT/(1+R_FC*T_DAYS/360)*S0_in*(1+R_USD*T_DAYS/360)</x:f>
        <x:v>9397325.243431032</x:v>
      </x:c>
      <x:c r="F5" s="86" t="n">
        <x:f>FC_AMT*MAX(K_PUT,B5)-FC_AMT*PREM_PUT</x:f>
        <x:v>9068000</x:v>
      </x:c>
      <x:c r="G5" s="86" t="n">
        <x:f>FC_AMT*B5+FC_AMT*MAX(B5-K_CALL,0)-FC_AMT*PREM_CALL</x:f>
        <x:v>8698880</x:v>
      </x:c>
      <x:c r="H5" s="60"/>
      <x:c r="I5" s="60"/>
      <x:c r="J5" s="60"/>
      <x:c r="K5" s="60"/>
      <x:c r="L5" s="60"/>
      <x:c r="M5" s="60"/>
      <x:c r="N5" s="60"/>
      <x:c r="O5" s="60"/>
      <x:c r="P5" s="60"/>
      <x:c r="Q5" s="60"/>
    </x:row>
    <x:row r="6">
      <x:c r="A6" s="94" t="n">
        <x:v>-0.03</x:v>
      </x:c>
      <x:c r="B6" s="81" t="n">
        <x:f>S0_in*(1+A6)</x:f>
        <x:v>1.118895</x:v>
      </x:c>
      <x:c r="C6" s="86" t="n">
        <x:f>FC_AMT*B6</x:f>
        <x:v>8951160</x:v>
      </x:c>
      <x:c r="D6" s="86" t="n">
        <x:f>FC_AMT*F0_in</x:f>
        <x:v>9397600</x:v>
      </x:c>
      <x:c r="E6" s="86" t="n">
        <x:f>FC_AMT/(1+R_FC*T_DAYS/360)*S0_in*(1+R_USD*T_DAYS/360)</x:f>
        <x:v>9397325.243431032</x:v>
      </x:c>
      <x:c r="F6" s="86" t="n">
        <x:f>FC_AMT*MAX(K_PUT,B6)-FC_AMT*PREM_PUT</x:f>
        <x:v>9068000</x:v>
      </x:c>
      <x:c r="G6" s="86" t="n">
        <x:f>FC_AMT*B6+FC_AMT*MAX(B6-K_CALL,0)-FC_AMT*PREM_CALL</x:f>
        <x:v>8791160</x:v>
      </x:c>
      <x:c r="H6" s="60"/>
      <x:c r="I6" s="60"/>
      <x:c r="J6" s="60"/>
      <x:c r="K6" s="60"/>
      <x:c r="L6" s="60"/>
      <x:c r="M6" s="60"/>
      <x:c r="N6" s="60"/>
      <x:c r="O6" s="60"/>
      <x:c r="P6" s="60"/>
      <x:c r="Q6" s="60"/>
    </x:row>
    <x:row r="7">
      <x:c r="A7" s="94" t="n">
        <x:v>-0.02</x:v>
      </x:c>
      <x:c r="B7" s="81" t="n">
        <x:f>S0_in*(1+A7)</x:f>
        <x:v>1.13043</x:v>
      </x:c>
      <x:c r="C7" s="86" t="n">
        <x:f>FC_AMT*B7</x:f>
        <x:v>9043440</x:v>
      </x:c>
      <x:c r="D7" s="86" t="n">
        <x:f>FC_AMT*F0_in</x:f>
        <x:v>9397600</x:v>
      </x:c>
      <x:c r="E7" s="86" t="n">
        <x:f>FC_AMT/(1+R_FC*T_DAYS/360)*S0_in*(1+R_USD*T_DAYS/360)</x:f>
        <x:v>9397325.243431032</x:v>
      </x:c>
      <x:c r="F7" s="86" t="n">
        <x:f>FC_AMT*MAX(K_PUT,B7)-FC_AMT*PREM_PUT</x:f>
        <x:v>9068000</x:v>
      </x:c>
      <x:c r="G7" s="86" t="n">
        <x:f>FC_AMT*B7+FC_AMT*MAX(B7-K_CALL,0)-FC_AMT*PREM_CALL</x:f>
        <x:v>8883440</x:v>
      </x:c>
      <x:c r="H7" s="60"/>
      <x:c r="I7" s="60"/>
      <x:c r="J7" s="60"/>
      <x:c r="K7" s="60"/>
      <x:c r="L7" s="60"/>
      <x:c r="M7" s="60"/>
      <x:c r="N7" s="60"/>
      <x:c r="O7" s="60"/>
      <x:c r="P7" s="60"/>
      <x:c r="Q7" s="60"/>
    </x:row>
    <x:row r="8">
      <x:c r="A8" s="94" t="n">
        <x:v>-0.01</x:v>
      </x:c>
      <x:c r="B8" s="81" t="n">
        <x:f>S0_in*(1+A8)</x:f>
        <x:v>1.141965</x:v>
      </x:c>
      <x:c r="C8" s="86" t="n">
        <x:f>FC_AMT*B8</x:f>
        <x:v>9135720</x:v>
      </x:c>
      <x:c r="D8" s="86" t="n">
        <x:f>FC_AMT*F0_in</x:f>
        <x:v>9397600</x:v>
      </x:c>
      <x:c r="E8" s="86" t="n">
        <x:f>FC_AMT/(1+R_FC*T_DAYS/360)*S0_in*(1+R_USD*T_DAYS/360)</x:f>
        <x:v>9397325.243431032</x:v>
      </x:c>
      <x:c r="F8" s="86" t="n">
        <x:f>FC_AMT*MAX(K_PUT,B8)-FC_AMT*PREM_PUT</x:f>
        <x:v>9068000</x:v>
      </x:c>
      <x:c r="G8" s="86" t="n">
        <x:f>FC_AMT*B8+FC_AMT*MAX(B8-K_CALL,0)-FC_AMT*PREM_CALL</x:f>
        <x:v>8975720</x:v>
      </x:c>
      <x:c r="H8" s="60"/>
      <x:c r="I8" s="60"/>
      <x:c r="J8" s="60"/>
      <x:c r="K8" s="60"/>
      <x:c r="L8" s="60"/>
      <x:c r="M8" s="60"/>
      <x:c r="N8" s="60"/>
      <x:c r="O8" s="60"/>
      <x:c r="P8" s="60"/>
      <x:c r="Q8" s="60"/>
    </x:row>
    <x:row r="9">
      <x:c r="A9" s="94" t="n">
        <x:v>0</x:v>
      </x:c>
      <x:c r="B9" s="81" t="n">
        <x:f>S0_in*(1+A9)</x:f>
        <x:v>1.1535</x:v>
      </x:c>
      <x:c r="C9" s="86" t="n">
        <x:f>FC_AMT*B9</x:f>
        <x:v>9228000</x:v>
      </x:c>
      <x:c r="D9" s="86" t="n">
        <x:f>FC_AMT*F0_in</x:f>
        <x:v>9397600</x:v>
      </x:c>
      <x:c r="E9" s="86" t="n">
        <x:f>FC_AMT/(1+R_FC*T_DAYS/360)*S0_in*(1+R_USD*T_DAYS/360)</x:f>
        <x:v>9397325.243431032</x:v>
      </x:c>
      <x:c r="F9" s="86" t="n">
        <x:f>FC_AMT*MAX(K_PUT,B9)-FC_AMT*PREM_PUT</x:f>
        <x:v>9068000</x:v>
      </x:c>
      <x:c r="G9" s="86" t="n">
        <x:f>FC_AMT*B9+FC_AMT*MAX(B9-K_CALL,0)-FC_AMT*PREM_CALL</x:f>
        <x:v>9068000</x:v>
      </x:c>
      <x:c r="H9" s="60"/>
      <x:c r="I9" s="60"/>
      <x:c r="J9" s="60"/>
      <x:c r="K9" s="60"/>
      <x:c r="L9" s="60"/>
      <x:c r="M9" s="60"/>
      <x:c r="N9" s="60"/>
      <x:c r="O9" s="60"/>
      <x:c r="P9" s="60"/>
      <x:c r="Q9" s="60"/>
    </x:row>
    <x:row r="10">
      <x:c r="A10" s="94" t="n">
        <x:v>0.01</x:v>
      </x:c>
      <x:c r="B10" s="81" t="n">
        <x:f>S0_in*(1+A10)</x:f>
        <x:v>1.165035</x:v>
      </x:c>
      <x:c r="C10" s="86" t="n">
        <x:f>FC_AMT*B10</x:f>
        <x:v>9320280</x:v>
      </x:c>
      <x:c r="D10" s="86" t="n">
        <x:f>FC_AMT*F0_in</x:f>
        <x:v>9397600</x:v>
      </x:c>
      <x:c r="E10" s="86" t="n">
        <x:f>FC_AMT/(1+R_FC*T_DAYS/360)*S0_in*(1+R_USD*T_DAYS/360)</x:f>
        <x:v>9397325.243431032</x:v>
      </x:c>
      <x:c r="F10" s="86" t="n">
        <x:f>FC_AMT*MAX(K_PUT,B10)-FC_AMT*PREM_PUT</x:f>
        <x:v>9160280</x:v>
      </x:c>
      <x:c r="G10" s="86" t="n">
        <x:f>FC_AMT*B10+FC_AMT*MAX(B10-K_CALL,0)-FC_AMT*PREM_CALL</x:f>
        <x:v>9252560</x:v>
      </x:c>
      <x:c r="H10" s="60"/>
      <x:c r="I10" s="60"/>
      <x:c r="J10" s="60"/>
      <x:c r="K10" s="60"/>
      <x:c r="L10" s="60"/>
      <x:c r="M10" s="60"/>
      <x:c r="N10" s="60"/>
      <x:c r="O10" s="60"/>
      <x:c r="P10" s="60"/>
      <x:c r="Q10" s="60"/>
    </x:row>
    <x:row r="11">
      <x:c r="A11" s="94" t="n">
        <x:v>0.02</x:v>
      </x:c>
      <x:c r="B11" s="81" t="n">
        <x:f>S0_in*(1+A11)</x:f>
        <x:v>1.17657</x:v>
      </x:c>
      <x:c r="C11" s="86" t="n">
        <x:f>FC_AMT*B11</x:f>
        <x:v>9412560</x:v>
      </x:c>
      <x:c r="D11" s="86" t="n">
        <x:f>FC_AMT*F0_in</x:f>
        <x:v>9397600</x:v>
      </x:c>
      <x:c r="E11" s="86" t="n">
        <x:f>FC_AMT/(1+R_FC*T_DAYS/360)*S0_in*(1+R_USD*T_DAYS/360)</x:f>
        <x:v>9397325.243431032</x:v>
      </x:c>
      <x:c r="F11" s="86" t="n">
        <x:f>FC_AMT*MAX(K_PUT,B11)-FC_AMT*PREM_PUT</x:f>
        <x:v>9252560</x:v>
      </x:c>
      <x:c r="G11" s="86" t="n">
        <x:f>FC_AMT*B11+FC_AMT*MAX(B11-K_CALL,0)-FC_AMT*PREM_CALL</x:f>
        <x:v>9437120</x:v>
      </x:c>
      <x:c r="H11" s="60"/>
      <x:c r="I11" s="60"/>
      <x:c r="J11" s="60"/>
      <x:c r="K11" s="60"/>
      <x:c r="L11" s="60"/>
      <x:c r="M11" s="60"/>
      <x:c r="N11" s="60"/>
      <x:c r="O11" s="60"/>
      <x:c r="P11" s="60"/>
      <x:c r="Q11" s="60"/>
    </x:row>
    <x:row r="12">
      <x:c r="A12" s="94" t="n">
        <x:v>0.03</x:v>
      </x:c>
      <x:c r="B12" s="81" t="n">
        <x:f>S0_in*(1+A12)</x:f>
        <x:v>1.188105</x:v>
      </x:c>
      <x:c r="C12" s="86" t="n">
        <x:f>FC_AMT*B12</x:f>
        <x:v>9504840</x:v>
      </x:c>
      <x:c r="D12" s="86" t="n">
        <x:f>FC_AMT*F0_in</x:f>
        <x:v>9397600</x:v>
      </x:c>
      <x:c r="E12" s="86" t="n">
        <x:f>FC_AMT/(1+R_FC*T_DAYS/360)*S0_in*(1+R_USD*T_DAYS/360)</x:f>
        <x:v>9397325.243431032</x:v>
      </x:c>
      <x:c r="F12" s="86" t="n">
        <x:f>FC_AMT*MAX(K_PUT,B12)-FC_AMT*PREM_PUT</x:f>
        <x:v>9344840</x:v>
      </x:c>
      <x:c r="G12" s="86" t="n">
        <x:f>FC_AMT*B12+FC_AMT*MAX(B12-K_CALL,0)-FC_AMT*PREM_CALL</x:f>
        <x:v>9621680</x:v>
      </x:c>
      <x:c r="H12" s="60"/>
      <x:c r="I12" s="60"/>
      <x:c r="J12" s="60"/>
      <x:c r="K12" s="60"/>
      <x:c r="L12" s="60"/>
      <x:c r="M12" s="60"/>
      <x:c r="N12" s="60"/>
      <x:c r="O12" s="60"/>
      <x:c r="P12" s="60"/>
      <x:c r="Q12" s="60"/>
    </x:row>
    <x:row r="13">
      <x:c r="A13" s="94" t="n">
        <x:v>0.04</x:v>
      </x:c>
      <x:c r="B13" s="81" t="n">
        <x:f>S0_in*(1+A13)</x:f>
        <x:v>1.19964</x:v>
      </x:c>
      <x:c r="C13" s="86" t="n">
        <x:f>FC_AMT*B13</x:f>
        <x:v>9597120</x:v>
      </x:c>
      <x:c r="D13" s="86" t="n">
        <x:f>FC_AMT*F0_in</x:f>
        <x:v>9397600</x:v>
      </x:c>
      <x:c r="E13" s="86" t="n">
        <x:f>FC_AMT/(1+R_FC*T_DAYS/360)*S0_in*(1+R_USD*T_DAYS/360)</x:f>
        <x:v>9397325.243431032</x:v>
      </x:c>
      <x:c r="F13" s="86" t="n">
        <x:f>FC_AMT*MAX(K_PUT,B13)-FC_AMT*PREM_PUT</x:f>
        <x:v>9437120</x:v>
      </x:c>
      <x:c r="G13" s="86" t="n">
        <x:f>FC_AMT*B13+FC_AMT*MAX(B13-K_CALL,0)-FC_AMT*PREM_CALL</x:f>
        <x:v>9806240</x:v>
      </x:c>
      <x:c r="H13" s="60"/>
      <x:c r="I13" s="60"/>
      <x:c r="J13" s="60"/>
      <x:c r="K13" s="60"/>
      <x:c r="L13" s="60"/>
      <x:c r="M13" s="60"/>
      <x:c r="N13" s="60"/>
      <x:c r="O13" s="60"/>
      <x:c r="P13" s="60"/>
      <x:c r="Q13" s="60"/>
    </x:row>
    <x:row r="14">
      <x:c r="A14" s="94" t="n">
        <x:v>0.05</x:v>
      </x:c>
      <x:c r="B14" s="81" t="n">
        <x:f>S0_in*(1+A14)</x:f>
        <x:v>1.2111750000000001</x:v>
      </x:c>
      <x:c r="C14" s="86" t="n">
        <x:f>FC_AMT*B14</x:f>
        <x:v>9689400</x:v>
      </x:c>
      <x:c r="D14" s="86" t="n">
        <x:f>FC_AMT*F0_in</x:f>
        <x:v>9397600</x:v>
      </x:c>
      <x:c r="E14" s="86" t="n">
        <x:f>FC_AMT/(1+R_FC*T_DAYS/360)*S0_in*(1+R_USD*T_DAYS/360)</x:f>
        <x:v>9397325.243431032</x:v>
      </x:c>
      <x:c r="F14" s="86" t="n">
        <x:f>FC_AMT*MAX(K_PUT,B14)-FC_AMT*PREM_PUT</x:f>
        <x:v>9529400</x:v>
      </x:c>
      <x:c r="G14" s="86" t="n">
        <x:f>FC_AMT*B14+FC_AMT*MAX(B14-K_CALL,0)-FC_AMT*PREM_CALL</x:f>
        <x:v>9990800.000000002</x:v>
      </x:c>
      <x:c r="H14" s="60"/>
      <x:c r="I14" s="60"/>
      <x:c r="J14" s="60"/>
      <x:c r="K14" s="60"/>
      <x:c r="L14" s="60"/>
      <x:c r="M14" s="60"/>
      <x:c r="N14" s="60"/>
      <x:c r="O14" s="60"/>
      <x:c r="P14" s="60"/>
      <x:c r="Q14" s="60"/>
    </x:row>
    <x:row r="15">
      <x:c r="A15" s="60"/>
      <x:c r="B15" s="60"/>
      <x:c r="C15" s="60"/>
      <x:c r="D15" s="60"/>
      <x:c r="E15" s="60"/>
      <x:c r="F15" s="60"/>
      <x:c r="G15" s="60"/>
      <x:c r="H15" s="60"/>
      <x:c r="I15" s="60"/>
      <x:c r="J15" s="60"/>
      <x:c r="K15" s="60"/>
      <x:c r="L15" s="60"/>
      <x:c r="M15" s="60"/>
      <x:c r="N15" s="60"/>
      <x:c r="O15" s="60"/>
      <x:c r="P15" s="60"/>
      <x:c r="Q15" s="60"/>
    </x:row>
    <x:row r="16">
      <x:c r="A16" s="60"/>
      <x:c r="B16" s="60"/>
      <x:c r="C16" s="60"/>
      <x:c r="D16" s="60"/>
      <x:c r="E16" s="60"/>
      <x:c r="F16" s="60"/>
      <x:c r="G16" s="60"/>
      <x:c r="H16" s="60"/>
      <x:c r="I16" s="60"/>
      <x:c r="J16" s="60"/>
      <x:c r="K16" s="60"/>
      <x:c r="L16" s="60"/>
      <x:c r="M16" s="60"/>
      <x:c r="N16" s="60"/>
      <x:c r="O16" s="60"/>
      <x:c r="P16" s="60"/>
      <x:c r="Q16" s="60"/>
    </x:row>
    <x:row r="17">
      <x:c r="A17" s="60"/>
      <x:c r="B17" s="60"/>
      <x:c r="C17" s="60"/>
      <x:c r="D17" s="60"/>
      <x:c r="E17" s="60"/>
      <x:c r="F17" s="60"/>
      <x:c r="G17" s="60"/>
      <x:c r="H17" s="60"/>
      <x:c r="I17" s="60"/>
      <x:c r="J17" s="60"/>
      <x:c r="K17" s="60"/>
      <x:c r="L17" s="60"/>
      <x:c r="M17" s="60"/>
      <x:c r="N17" s="60"/>
      <x:c r="O17" s="60"/>
      <x:c r="P17" s="60"/>
      <x:c r="Q17" s="60"/>
    </x:row>
    <x:row r="18">
      <x:c r="A18" s="60"/>
      <x:c r="B18" s="60"/>
      <x:c r="C18" s="60"/>
      <x:c r="D18" s="60"/>
      <x:c r="E18" s="60"/>
      <x:c r="F18" s="60"/>
      <x:c r="G18" s="60"/>
      <x:c r="H18" s="60"/>
      <x:c r="I18" s="60"/>
      <x:c r="J18" s="60"/>
      <x:c r="K18" s="60"/>
      <x:c r="L18" s="60"/>
      <x:c r="M18" s="60"/>
      <x:c r="N18" s="60"/>
      <x:c r="O18" s="60"/>
      <x:c r="P18" s="60"/>
      <x:c r="Q18" s="60"/>
    </x:row>
    <x:row r="19">
      <x:c r="A19" s="60"/>
      <x:c r="B19" s="60"/>
      <x:c r="C19" s="60"/>
      <x:c r="D19" s="60"/>
      <x:c r="E19" s="60"/>
      <x:c r="F19" s="60"/>
      <x:c r="G19" s="60"/>
      <x:c r="H19" s="60"/>
      <x:c r="I19" s="60"/>
      <x:c r="J19" s="60"/>
      <x:c r="K19" s="60"/>
      <x:c r="L19" s="60"/>
      <x:c r="M19" s="60"/>
      <x:c r="N19" s="60"/>
      <x:c r="O19" s="60"/>
      <x:c r="P19" s="60"/>
      <x:c r="Q19" s="60"/>
    </x:row>
    <x:row r="20">
      <x:c r="A20" s="60"/>
      <x:c r="B20" s="60"/>
      <x:c r="C20" s="60"/>
      <x:c r="D20" s="60"/>
      <x:c r="E20" s="60"/>
      <x:c r="F20" s="60"/>
      <x:c r="G20" s="60"/>
      <x:c r="H20" s="60"/>
      <x:c r="I20" s="60"/>
      <x:c r="J20" s="60"/>
      <x:c r="K20" s="60"/>
      <x:c r="L20" s="60"/>
      <x:c r="M20" s="60"/>
      <x:c r="N20" s="60"/>
      <x:c r="O20" s="60"/>
      <x:c r="P20" s="60"/>
      <x:c r="Q20" s="60"/>
    </x:row>
    <x:row r="21">
      <x:c r="A21" s="60"/>
      <x:c r="B21" s="60"/>
      <x:c r="C21" s="60"/>
      <x:c r="D21" s="60"/>
      <x:c r="E21" s="60"/>
      <x:c r="F21" s="60"/>
      <x:c r="G21" s="60"/>
      <x:c r="H21" s="60"/>
      <x:c r="I21" s="60"/>
      <x:c r="J21" s="60"/>
      <x:c r="K21" s="60"/>
      <x:c r="L21" s="60"/>
      <x:c r="M21" s="60"/>
      <x:c r="N21" s="60"/>
      <x:c r="O21" s="60"/>
      <x:c r="P21" s="60"/>
      <x:c r="Q21" s="60"/>
    </x:row>
    <x:row r="22">
      <x:c r="A22" s="60"/>
      <x:c r="B22" s="60"/>
      <x:c r="C22" s="60"/>
      <x:c r="D22" s="60"/>
      <x:c r="E22" s="60"/>
      <x:c r="F22" s="60"/>
      <x:c r="G22" s="60"/>
      <x:c r="H22" s="60"/>
      <x:c r="I22" s="60"/>
      <x:c r="J22" s="60"/>
      <x:c r="K22" s="60"/>
      <x:c r="L22" s="60"/>
      <x:c r="M22" s="60"/>
      <x:c r="N22" s="60"/>
      <x:c r="O22" s="60"/>
      <x:c r="P22" s="60"/>
      <x:c r="Q22" s="60"/>
    </x:row>
    <x:row r="23">
      <x:c r="A23" s="60"/>
      <x:c r="B23" s="60"/>
      <x:c r="C23" s="60"/>
      <x:c r="D23" s="60"/>
      <x:c r="E23" s="60"/>
      <x:c r="F23" s="60"/>
      <x:c r="G23" s="60"/>
      <x:c r="H23" s="60"/>
      <x:c r="I23" s="60"/>
      <x:c r="J23" s="60"/>
      <x:c r="K23" s="60"/>
      <x:c r="L23" s="60"/>
      <x:c r="M23" s="60"/>
      <x:c r="N23" s="60"/>
      <x:c r="O23" s="60"/>
      <x:c r="P23" s="60"/>
      <x:c r="Q23" s="60"/>
    </x:row>
    <x:row r="24">
      <x:c r="A24" s="60"/>
      <x:c r="B24" s="60"/>
      <x:c r="C24" s="60"/>
      <x:c r="D24" s="60"/>
      <x:c r="E24" s="60"/>
      <x:c r="F24" s="60"/>
      <x:c r="G24" s="60"/>
      <x:c r="H24" s="60"/>
      <x:c r="I24" s="60"/>
      <x:c r="J24" s="60"/>
      <x:c r="K24" s="60"/>
      <x:c r="L24" s="60"/>
      <x:c r="M24" s="60"/>
      <x:c r="N24" s="60"/>
      <x:c r="O24" s="60"/>
      <x:c r="P24" s="60"/>
      <x:c r="Q24" s="60"/>
    </x:row>
    <x:row r="25">
      <x:c r="A25" s="60"/>
      <x:c r="B25" s="60"/>
      <x:c r="C25" s="60"/>
      <x:c r="D25" s="60"/>
      <x:c r="E25" s="60"/>
      <x:c r="F25" s="60"/>
      <x:c r="G25" s="60"/>
      <x:c r="H25" s="60"/>
      <x:c r="I25" s="60"/>
      <x:c r="J25" s="60"/>
      <x:c r="K25" s="60"/>
      <x:c r="L25" s="60"/>
      <x:c r="M25" s="60"/>
      <x:c r="N25" s="60"/>
      <x:c r="O25" s="60"/>
      <x:c r="P25" s="60"/>
      <x:c r="Q25" s="60"/>
    </x:row>
    <x:row r="26">
      <x:c r="A26" s="60"/>
      <x:c r="B26" s="60"/>
      <x:c r="C26" s="60"/>
      <x:c r="D26" s="60"/>
      <x:c r="E26" s="60"/>
      <x:c r="F26" s="60"/>
      <x:c r="G26" s="60"/>
      <x:c r="H26" s="60"/>
      <x:c r="I26" s="60"/>
      <x:c r="J26" s="60"/>
      <x:c r="K26" s="60"/>
      <x:c r="L26" s="60"/>
      <x:c r="M26" s="60"/>
      <x:c r="N26" s="60"/>
      <x:c r="O26" s="60"/>
      <x:c r="P26" s="60"/>
      <x:c r="Q26" s="60"/>
    </x:row>
    <x:row r="27">
      <x:c r="A27" s="60"/>
      <x:c r="B27" s="60"/>
      <x:c r="C27" s="60"/>
      <x:c r="D27" s="60"/>
      <x:c r="E27" s="60"/>
      <x:c r="F27" s="60"/>
      <x:c r="G27" s="60"/>
      <x:c r="H27" s="60"/>
      <x:c r="I27" s="60"/>
      <x:c r="J27" s="60"/>
      <x:c r="K27" s="60"/>
      <x:c r="L27" s="60"/>
      <x:c r="M27" s="60"/>
      <x:c r="N27" s="60"/>
      <x:c r="O27" s="60"/>
      <x:c r="P27" s="60"/>
      <x:c r="Q27" s="60"/>
    </x:row>
    <x:row r="28">
      <x:c r="A28" s="60"/>
      <x:c r="B28" s="60"/>
      <x:c r="C28" s="60"/>
      <x:c r="D28" s="60"/>
      <x:c r="E28" s="60"/>
      <x:c r="F28" s="60"/>
      <x:c r="G28" s="60"/>
      <x:c r="H28" s="60"/>
      <x:c r="I28" s="60"/>
      <x:c r="J28" s="60"/>
      <x:c r="K28" s="60"/>
      <x:c r="L28" s="60"/>
      <x:c r="M28" s="60"/>
      <x:c r="N28" s="60"/>
      <x:c r="O28" s="60"/>
      <x:c r="P28" s="60"/>
      <x:c r="Q28" s="60"/>
    </x:row>
    <x:row r="29">
      <x:c r="A29" s="60"/>
      <x:c r="B29" s="60"/>
      <x:c r="C29" s="60"/>
      <x:c r="D29" s="60"/>
      <x:c r="E29" s="60"/>
      <x:c r="F29" s="60"/>
      <x:c r="G29" s="60"/>
      <x:c r="H29" s="60"/>
      <x:c r="I29" s="60"/>
      <x:c r="J29" s="60"/>
      <x:c r="K29" s="60"/>
      <x:c r="L29" s="60"/>
      <x:c r="M29" s="60"/>
      <x:c r="N29" s="60"/>
      <x:c r="O29" s="60"/>
      <x:c r="P29" s="60"/>
      <x:c r="Q29" s="60"/>
    </x:row>
    <x:row r="30">
      <x:c r="A30" s="60"/>
      <x:c r="B30" s="60"/>
      <x:c r="C30" s="60"/>
      <x:c r="D30" s="60"/>
      <x:c r="E30" s="60"/>
      <x:c r="F30" s="60"/>
      <x:c r="G30" s="60"/>
      <x:c r="H30" s="60"/>
      <x:c r="I30" s="60"/>
      <x:c r="J30" s="60"/>
      <x:c r="K30" s="60"/>
      <x:c r="L30" s="60"/>
      <x:c r="M30" s="60"/>
      <x:c r="N30" s="60"/>
      <x:c r="O30" s="60"/>
      <x:c r="P30" s="60"/>
      <x:c r="Q30" s="60"/>
    </x:row>
  </x:sheetData>
  <x:mergeCells>
    <x:mergeCell ref="A1:G1"/>
  </x:mergeCells>
  <x:pageMargins left="0.7" right="0.7" top="0.75" bottom="0.75" header="0.3" footer="0.3"/>
  <x:drawing xmlns:r="http://schemas.openxmlformats.org/officeDocument/2006/relationships" r:id="R70018f567b0d4d95"/>
</x:worksheet>
</file>

<file path=xl/worksheets/sheet8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4" hidden="0" customWidth="1"/>
    <x:col min="3" max="3" width="14" hidden="0" customWidth="1"/>
  </x:cols>
  <x:sheetData>
    <x:row r="1">
      <x:c r="A1" s="5" t="str">
        <x:v>Notes &amp; Assumptions</x:v>
      </x:c>
      <x:c r="B1" s="42"/>
      <x:c r="C1" s="5"/>
      <x:c r="D1" s="5"/>
      <x:c r="E1" s="60"/>
      <x:c r="F1" s="60"/>
      <x:c r="G1" s="60"/>
      <x:c r="H1" s="60"/>
      <x:c r="I1" s="60"/>
      <x:c r="J1" s="60"/>
      <x:c r="K1" s="60"/>
      <x:c r="L1" s="60"/>
      <x:c r="M1" s="60"/>
      <x:c r="N1" s="60"/>
      <x:c r="O1" s="60"/>
      <x:c r="P1" s="60"/>
      <x:c r="Q1" s="60"/>
    </x:row>
    <x:row r="2">
      <x:c r="A2" s="60"/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</x:row>
    <x:row r="3">
      <x:c r="A3" s="13" t="str">
        <x:v>#</x:v>
      </x:c>
      <x:c r="B3" s="13" t="str">
        <x:v>Assumption / Constraint</x:v>
      </x:c>
      <x:c r="C3" s="60"/>
      <x:c r="D3" s="60"/>
      <x:c r="E3" s="60"/>
      <x:c r="F3" s="60"/>
      <x:c r="G3" s="60"/>
      <x:c r="H3" s="60"/>
      <x:c r="I3" s="60"/>
      <x:c r="J3" s="60"/>
      <x:c r="K3" s="60"/>
      <x:c r="L3" s="60"/>
      <x:c r="M3" s="60"/>
      <x:c r="N3" s="60"/>
      <x:c r="O3" s="60"/>
      <x:c r="P3" s="60"/>
      <x:c r="Q3" s="60"/>
    </x:row>
    <x:row r="4">
      <x:c r="A4" s="60" t="n">
        <x:v>1</x:v>
      </x:c>
      <x:c r="B4" s="67" t="str">
        <x:v>Exchange rates are quoted as USD per EUR.</x:v>
      </x:c>
      <x:c r="C4" s="60"/>
      <x:c r="D4" s="60"/>
      <x:c r="E4" s="60"/>
      <x:c r="F4" s="60"/>
      <x:c r="G4" s="60"/>
      <x:c r="H4" s="60"/>
      <x:c r="I4" s="60"/>
      <x:c r="J4" s="60"/>
      <x:c r="K4" s="60"/>
      <x:c r="L4" s="60"/>
      <x:c r="M4" s="60"/>
      <x:c r="N4" s="60"/>
      <x:c r="O4" s="60"/>
      <x:c r="P4" s="60"/>
      <x:c r="Q4" s="60"/>
    </x:row>
    <x:row r="5">
      <x:c r="A5" s="60" t="n">
        <x:v>2</x:v>
      </x:c>
      <x:c r="B5" s="67" t="str">
        <x:v>FC_AMT is a EUR receivable; the key risk is EUR depreciation.</x:v>
      </x:c>
      <x:c r="C5" s="60"/>
      <x:c r="D5" s="60"/>
      <x:c r="E5" s="60"/>
      <x:c r="F5" s="60"/>
      <x:c r="G5" s="60"/>
      <x:c r="H5" s="60"/>
      <x:c r="I5" s="60"/>
      <x:c r="J5" s="60"/>
      <x:c r="K5" s="60"/>
      <x:c r="L5" s="60"/>
      <x:c r="M5" s="60"/>
      <x:c r="N5" s="60"/>
      <x:c r="O5" s="60"/>
      <x:c r="P5" s="60"/>
      <x:c r="Q5" s="60"/>
    </x:row>
    <x:row r="6">
      <x:c r="A6" s="60" t="n">
        <x:v>3</x:v>
      </x:c>
      <x:c r="B6" s="67" t="str">
        <x:v>Interest uses simple interest with T_DAYS/360 (ACT/360-style convention).</x:v>
      </x:c>
      <x:c r="C6" s="60"/>
      <x:c r="D6" s="60"/>
      <x:c r="E6" s="60"/>
      <x:c r="F6" s="60"/>
      <x:c r="G6" s="60"/>
      <x:c r="H6" s="60"/>
      <x:c r="I6" s="60"/>
      <x:c r="J6" s="60"/>
      <x:c r="K6" s="60"/>
      <x:c r="L6" s="60"/>
      <x:c r="M6" s="60"/>
      <x:c r="N6" s="60"/>
      <x:c r="O6" s="60"/>
      <x:c r="P6" s="60"/>
      <x:c r="Q6" s="60"/>
    </x:row>
    <x:row r="7">
      <x:c r="A7" s="60" t="n">
        <x:v>4</x:v>
      </x:c>
      <x:c r="B7" s="67" t="str">
        <x:v>Transaction costs, bid-ask spreads, taxes, credit risk, and counterparty default risk are ignored.</x:v>
      </x:c>
      <x:c r="C7" s="60"/>
      <x:c r="D7" s="60"/>
      <x:c r="E7" s="60"/>
      <x:c r="F7" s="60"/>
      <x:c r="G7" s="60"/>
      <x:c r="H7" s="60"/>
      <x:c r="I7" s="60"/>
      <x:c r="J7" s="60"/>
      <x:c r="K7" s="60"/>
      <x:c r="L7" s="60"/>
      <x:c r="M7" s="60"/>
      <x:c r="N7" s="60"/>
      <x:c r="O7" s="60"/>
      <x:c r="P7" s="60"/>
      <x:c r="Q7" s="60"/>
    </x:row>
    <x:row r="8">
      <x:c r="A8" s="60" t="n">
        <x:v>5</x:v>
      </x:c>
      <x:c r="B8" s="67" t="str">
        <x:v>The full EUR 8,000,000 exposure is hedged under each strategy.</x:v>
      </x:c>
      <x:c r="C8" s="60"/>
      <x:c r="D8" s="60"/>
      <x:c r="E8" s="60"/>
      <x:c r="F8" s="60"/>
      <x:c r="G8" s="60"/>
      <x:c r="H8" s="60"/>
      <x:c r="I8" s="60"/>
      <x:c r="J8" s="60"/>
      <x:c r="K8" s="60"/>
      <x:c r="L8" s="60"/>
      <x:c r="M8" s="60"/>
      <x:c r="N8" s="60"/>
      <x:c r="O8" s="60"/>
      <x:c r="P8" s="60"/>
      <x:c r="Q8" s="60"/>
    </x:row>
    <x:row r="9">
      <x:c r="A9" s="60" t="n">
        <x:v>6</x:v>
      </x:c>
      <x:c r="B9" s="67" t="str">
        <x:v>Forward contract is assumed to have no upfront premium.</x:v>
      </x:c>
      <x:c r="C9" s="60"/>
      <x:c r="D9" s="60"/>
      <x:c r="E9" s="60"/>
      <x:c r="F9" s="60"/>
      <x:c r="G9" s="60"/>
      <x:c r="H9" s="60"/>
      <x:c r="I9" s="60"/>
      <x:c r="J9" s="60"/>
      <x:c r="K9" s="60"/>
      <x:c r="L9" s="60"/>
      <x:c r="M9" s="60"/>
      <x:c r="N9" s="60"/>
      <x:c r="O9" s="60"/>
      <x:c r="P9" s="60"/>
      <x:c r="Q9" s="60"/>
    </x:row>
    <x:row r="10">
      <x:c r="A10" s="60" t="n">
        <x:v>7</x:v>
      </x:c>
      <x:c r="B10" s="67" t="str">
        <x:v>Covered interest parity is used as the forward/MM consistency benchmark.</x:v>
      </x:c>
      <x:c r="C10" s="60"/>
      <x:c r="D10" s="60"/>
      <x:c r="E10" s="60"/>
      <x:c r="F10" s="60"/>
      <x:c r="G10" s="60"/>
      <x:c r="H10" s="60"/>
      <x:c r="I10" s="60"/>
      <x:c r="J10" s="60"/>
      <x:c r="K10" s="60"/>
      <x:c r="L10" s="60"/>
      <x:c r="M10" s="60"/>
      <x:c r="N10" s="60"/>
      <x:c r="O10" s="60"/>
      <x:c r="P10" s="60"/>
      <x:c r="Q10" s="60"/>
    </x:row>
    <x:row r="11">
      <x:c r="A11" s="60" t="n">
        <x:v>8</x:v>
      </x:c>
      <x:c r="B11" s="67" t="str">
        <x:v>Option premiums are quoted in USD per EUR and deducted directly from hedge proceeds without financing/carry, matching the FIN 321 FX Hedging Lab.</x:v>
      </x:c>
      <x:c r="C11" s="60"/>
      <x:c r="D11" s="60"/>
      <x:c r="E11" s="60"/>
      <x:c r="F11" s="60"/>
      <x:c r="G11" s="60"/>
      <x:c r="H11" s="60"/>
      <x:c r="I11" s="60"/>
      <x:c r="J11" s="60"/>
      <x:c r="K11" s="60"/>
      <x:c r="L11" s="60"/>
      <x:c r="M11" s="60"/>
      <x:c r="N11" s="60"/>
      <x:c r="O11" s="60"/>
      <x:c r="P11" s="60"/>
      <x:c r="Q11" s="60"/>
    </x:row>
    <x:row r="12">
      <x:c r="A12" s="60" t="n">
        <x:v>9</x:v>
      </x:c>
      <x:c r="B12" s="67" t="str">
        <x:v>Phase 2/3 market values are indicative placeholders unless identified as scenario-provided.</x:v>
      </x:c>
      <x:c r="C12" s="60"/>
      <x:c r="D12" s="60"/>
      <x:c r="E12" s="60"/>
      <x:c r="F12" s="60"/>
      <x:c r="G12" s="60"/>
      <x:c r="H12" s="60"/>
      <x:c r="I12" s="60"/>
      <x:c r="J12" s="60"/>
      <x:c r="K12" s="60"/>
      <x:c r="L12" s="60"/>
      <x:c r="M12" s="60"/>
      <x:c r="N12" s="60"/>
      <x:c r="O12" s="60"/>
      <x:c r="P12" s="60"/>
      <x:c r="Q12" s="60"/>
    </x:row>
    <x:row r="13">
      <x:c r="A13" s="60" t="n">
        <x:v>10</x:v>
      </x:c>
      <x:c r="B13" s="67" t="str">
        <x:v>Phase 4 replaces S0_in, R_USD, R_FC, F0_in, K_PUT, and K_CALL with live/documented values.</x:v>
      </x:c>
      <x:c r="C13" s="60"/>
      <x:c r="D13" s="60"/>
      <x:c r="E13" s="60"/>
      <x:c r="F13" s="60"/>
      <x:c r="G13" s="60"/>
      <x:c r="H13" s="60"/>
      <x:c r="I13" s="60"/>
      <x:c r="J13" s="60"/>
      <x:c r="K13" s="60"/>
      <x:c r="L13" s="60"/>
      <x:c r="M13" s="60"/>
      <x:c r="N13" s="60"/>
      <x:c r="O13" s="60"/>
      <x:c r="P13" s="60"/>
      <x:c r="Q13" s="60"/>
    </x:row>
    <x:row r="14">
      <x:c r="A14" s="60" t="n">
        <x:v>11</x:v>
      </x:c>
      <x:c r="B14" s="67" t="str">
        <x:v>PREM_PUT and PREM_CALL remain scenario assumptions in Phase 4.</x:v>
      </x:c>
      <x:c r="C14" s="60"/>
      <x:c r="D14" s="60"/>
      <x:c r="E14" s="60"/>
      <x:c r="F14" s="60"/>
      <x:c r="G14" s="60"/>
      <x:c r="H14" s="60"/>
      <x:c r="I14" s="60"/>
      <x:c r="J14" s="60"/>
      <x:c r="K14" s="60"/>
      <x:c r="L14" s="60"/>
      <x:c r="M14" s="60"/>
      <x:c r="N14" s="60"/>
      <x:c r="O14" s="60"/>
      <x:c r="P14" s="60"/>
      <x:c r="Q14" s="60"/>
    </x:row>
    <x:row r="15">
      <x:c r="A15" s="60"/>
      <x:c r="B15" s="60"/>
      <x:c r="C15" s="60"/>
      <x:c r="D15" s="60"/>
      <x:c r="E15" s="60"/>
      <x:c r="F15" s="60"/>
      <x:c r="G15" s="60"/>
      <x:c r="H15" s="60"/>
      <x:c r="I15" s="60"/>
      <x:c r="J15" s="60"/>
      <x:c r="K15" s="60"/>
      <x:c r="L15" s="60"/>
      <x:c r="M15" s="60"/>
      <x:c r="N15" s="60"/>
      <x:c r="O15" s="60"/>
      <x:c r="P15" s="60"/>
      <x:c r="Q15" s="60"/>
    </x:row>
    <x:row r="16">
      <x:c r="A16" s="60"/>
      <x:c r="B16" s="60"/>
      <x:c r="C16" s="60"/>
      <x:c r="D16" s="60"/>
      <x:c r="E16" s="60"/>
      <x:c r="F16" s="60"/>
      <x:c r="G16" s="60"/>
      <x:c r="H16" s="60"/>
      <x:c r="I16" s="60"/>
      <x:c r="J16" s="60"/>
      <x:c r="K16" s="60"/>
      <x:c r="L16" s="60"/>
      <x:c r="M16" s="60"/>
      <x:c r="N16" s="60"/>
      <x:c r="O16" s="60"/>
      <x:c r="P16" s="60"/>
      <x:c r="Q16" s="60"/>
    </x:row>
    <x:row r="17">
      <x:c r="A17" s="61" t="str">
        <x:v>Phase 3 Validation Checklist</x:v>
      </x:c>
      <x:c r="B17" s="61"/>
      <x:c r="C17" s="61"/>
      <x:c r="D17" s="61"/>
      <x:c r="E17" s="60"/>
      <x:c r="F17" s="60"/>
      <x:c r="G17" s="60"/>
      <x:c r="H17" s="60"/>
      <x:c r="I17" s="60"/>
      <x:c r="J17" s="60"/>
      <x:c r="K17" s="60"/>
      <x:c r="L17" s="60"/>
      <x:c r="M17" s="60"/>
      <x:c r="N17" s="60"/>
      <x:c r="O17" s="60"/>
      <x:c r="P17" s="60"/>
      <x:c r="Q17" s="60"/>
    </x:row>
    <x:row r="18">
      <x:c r="A18" s="13" t="str">
        <x:v>Validation Rule</x:v>
      </x:c>
      <x:c r="B18" s="13" t="str">
        <x:v>Result</x:v>
      </x:c>
      <x:c r="C18" s="13" t="str">
        <x:v>Status</x:v>
      </x:c>
      <x:c r="D18" s="60"/>
      <x:c r="E18" s="60"/>
      <x:c r="F18" s="60"/>
      <x:c r="G18" s="60"/>
      <x:c r="H18" s="60"/>
      <x:c r="I18" s="60"/>
      <x:c r="J18" s="60"/>
      <x:c r="K18" s="60"/>
      <x:c r="L18" s="60"/>
      <x:c r="M18" s="60"/>
      <x:c r="N18" s="60"/>
      <x:c r="O18" s="60"/>
      <x:c r="P18" s="60"/>
      <x:c r="Q18" s="60"/>
    </x:row>
    <x:row r="19">
      <x:c r="A19" s="60" t="str">
        <x:v>Forward check figure</x:v>
      </x:c>
      <x:c r="B19" s="86" t="n">
        <x:f>FC_AMT*F0_in</x:f>
        <x:v>9397600</x:v>
      </x:c>
      <x:c r="C19" s="68" t="str">
        <x:f>IF(ABS(B19-8712000)&lt;1,"PASS","REVIEW")</x:f>
        <x:v>REVIEW</x:v>
      </x:c>
      <x:c r="D19" s="60"/>
      <x:c r="E19" s="60"/>
      <x:c r="F19" s="60"/>
      <x:c r="G19" s="60"/>
      <x:c r="H19" s="60"/>
      <x:c r="I19" s="60"/>
      <x:c r="J19" s="60"/>
      <x:c r="K19" s="60"/>
      <x:c r="L19" s="60"/>
      <x:c r="M19" s="60"/>
      <x:c r="N19" s="60"/>
      <x:c r="O19" s="60"/>
      <x:c r="P19" s="60"/>
      <x:c r="Q19" s="60"/>
    </x:row>
    <x:row r="20">
      <x:c r="A20" s="60" t="str">
        <x:v>CIP parity difference %</x:v>
      </x:c>
      <x:c r="B20" s="87" t="n">
        <x:f>ABS(F0_in-(S0_in*(1+R_USD*T_DAYS/360)/(1+R_FC*T_DAYS/360)))/F0_in</x:f>
        <x:v>0.000029236886967786513</x:v>
      </x:c>
      <x:c r="C20" s="68" t="str">
        <x:f>IF(B20&lt;=0.001,"PASS","REVIEW")</x:f>
        <x:v>PASS</x:v>
      </x:c>
      <x:c r="D20" s="60"/>
      <x:c r="E20" s="60"/>
      <x:c r="F20" s="60"/>
      <x:c r="G20" s="60"/>
      <x:c r="H20" s="60"/>
      <x:c r="I20" s="60"/>
      <x:c r="J20" s="60"/>
      <x:c r="K20" s="60"/>
      <x:c r="L20" s="60"/>
      <x:c r="M20" s="60"/>
      <x:c r="N20" s="60"/>
      <x:c r="O20" s="60"/>
      <x:c r="P20" s="60"/>
      <x:c r="Q20" s="60"/>
    </x:row>
    <x:row r="21">
      <x:c r="A21" s="60" t="str">
        <x:v>Forward vs. MM proceeds difference</x:v>
      </x:c>
      <x:c r="B21" s="86" t="n">
        <x:f>ABS(FC_AMT*F0_in-(FC_AMT/(1+R_FC*T_DAYS/360)*S0_in*(1+R_USD*T_DAYS/360)))</x:f>
        <x:v>274.75656896829605</x:v>
      </x:c>
      <x:c r="C21" s="68" t="str">
        <x:f>IF(B21&lt;=1000,"PASS","REVIEW")</x:f>
        <x:v>PASS</x:v>
      </x:c>
      <x:c r="D21" s="60"/>
      <x:c r="E21" s="60"/>
      <x:c r="F21" s="60"/>
      <x:c r="G21" s="60"/>
      <x:c r="H21" s="60"/>
      <x:c r="I21" s="60"/>
      <x:c r="J21" s="60"/>
      <x:c r="K21" s="60"/>
      <x:c r="L21" s="60"/>
      <x:c r="M21" s="60"/>
      <x:c r="N21" s="60"/>
      <x:c r="O21" s="60"/>
      <x:c r="P21" s="60"/>
      <x:c r="Q21" s="60"/>
    </x:row>
    <x:row r="22">
      <x:c r="A22" s="60" t="str">
        <x:v>Put continuity at strike</x:v>
      </x:c>
      <x:c r="B22" s="86" t="n">
        <x:f>ABS(FC_AMT*MAX(K_PUT,K_PUT-0.000001)-FC_AMT*K_PUT)</x:f>
        <x:v>0</x:v>
      </x:c>
      <x:c r="C22" s="68" t="str">
        <x:f>IF(B22&lt;=10,"PASS","REVIEW")</x:f>
        <x:v>PASS</x:v>
      </x:c>
      <x:c r="D22" s="60"/>
      <x:c r="E22" s="60"/>
      <x:c r="F22" s="60"/>
      <x:c r="G22" s="60"/>
      <x:c r="H22" s="60"/>
      <x:c r="I22" s="60"/>
      <x:c r="J22" s="60"/>
      <x:c r="K22" s="60"/>
      <x:c r="L22" s="60"/>
      <x:c r="M22" s="60"/>
      <x:c r="N22" s="60"/>
      <x:c r="O22" s="60"/>
      <x:c r="P22" s="60"/>
      <x:c r="Q22" s="60"/>
    </x:row>
    <x:row r="23">
      <x:c r="A23" s="60" t="str">
        <x:v>Sensitivity row count</x:v>
      </x:c>
      <x:c r="B23" s="102" t="n">
        <x:f>COUNTA(Sensitivity!B4:B14)</x:f>
        <x:v>11</x:v>
      </x:c>
      <x:c r="C23" s="68" t="str">
        <x:f>IF(B23=11,"PASS","REVIEW")</x:f>
        <x:v>PASS</x:v>
      </x:c>
      <x:c r="D23" s="60"/>
      <x:c r="E23" s="60"/>
      <x:c r="F23" s="60"/>
      <x:c r="G23" s="60"/>
      <x:c r="H23" s="60"/>
      <x:c r="I23" s="60"/>
      <x:c r="J23" s="60"/>
      <x:c r="K23" s="60"/>
      <x:c r="L23" s="60"/>
      <x:c r="M23" s="60"/>
      <x:c r="N23" s="60"/>
      <x:c r="O23" s="60"/>
      <x:c r="P23" s="60"/>
      <x:c r="Q23" s="60"/>
    </x:row>
    <x:row r="24">
      <x:c r="A24" s="60" t="str">
        <x:v>Sensitivity lower bound</x:v>
      </x:c>
      <x:c r="B24" s="87" t="n">
        <x:f>MIN(Sensitivity!B4:B14)/S0_in</x:f>
        <x:v>0.9499999999999998</x:v>
      </x:c>
      <x:c r="C24" s="68" t="str">
        <x:f>IF(ABS(B24-0.95)&lt;0.000001,"PASS","REVIEW")</x:f>
        <x:v>PASS</x:v>
      </x:c>
      <x:c r="D24" s="60"/>
      <x:c r="E24" s="60"/>
      <x:c r="F24" s="60"/>
      <x:c r="G24" s="60"/>
      <x:c r="H24" s="60"/>
      <x:c r="I24" s="60"/>
      <x:c r="J24" s="60"/>
      <x:c r="K24" s="60"/>
      <x:c r="L24" s="60"/>
      <x:c r="M24" s="60"/>
      <x:c r="N24" s="60"/>
      <x:c r="O24" s="60"/>
      <x:c r="P24" s="60"/>
      <x:c r="Q24" s="60"/>
    </x:row>
    <x:row r="25">
      <x:c r="A25" s="60" t="str">
        <x:v>Sensitivity upper bound</x:v>
      </x:c>
      <x:c r="B25" s="87" t="n">
        <x:f>MAX(Sensitivity!B4:B14)/S0_in</x:f>
        <x:v>1.05</x:v>
      </x:c>
      <x:c r="C25" s="68" t="str">
        <x:f>IF(ABS(B25-1.05)&lt;0.000001,"PASS","REVIEW")</x:f>
        <x:v>PASS</x:v>
      </x:c>
      <x:c r="D25" s="60"/>
      <x:c r="E25" s="60"/>
      <x:c r="F25" s="60"/>
      <x:c r="G25" s="60"/>
      <x:c r="H25" s="60"/>
      <x:c r="I25" s="60"/>
      <x:c r="J25" s="60"/>
      <x:c r="K25" s="60"/>
      <x:c r="L25" s="60"/>
      <x:c r="M25" s="60"/>
      <x:c r="N25" s="60"/>
      <x:c r="O25" s="60"/>
      <x:c r="P25" s="60"/>
      <x:c r="Q25" s="60"/>
    </x:row>
    <x:row r="26">
      <x:c r="A26" s="60"/>
      <x:c r="B26" s="60"/>
      <x:c r="C26" s="60"/>
      <x:c r="D26" s="60"/>
      <x:c r="E26" s="60"/>
      <x:c r="F26" s="60"/>
      <x:c r="G26" s="60"/>
      <x:c r="H26" s="60"/>
      <x:c r="I26" s="60"/>
      <x:c r="J26" s="60"/>
      <x:c r="K26" s="60"/>
      <x:c r="L26" s="60"/>
      <x:c r="M26" s="60"/>
      <x:c r="N26" s="60"/>
      <x:c r="O26" s="60"/>
      <x:c r="P26" s="60"/>
      <x:c r="Q26" s="60"/>
    </x:row>
    <x:row r="27">
      <x:c r="A27" s="60"/>
      <x:c r="B27" s="60"/>
      <x:c r="C27" s="60"/>
      <x:c r="D27" s="60"/>
      <x:c r="E27" s="60"/>
      <x:c r="F27" s="60"/>
      <x:c r="G27" s="60"/>
      <x:c r="H27" s="60"/>
      <x:c r="I27" s="60"/>
      <x:c r="J27" s="60"/>
      <x:c r="K27" s="60"/>
      <x:c r="L27" s="60"/>
      <x:c r="M27" s="60"/>
      <x:c r="N27" s="60"/>
      <x:c r="O27" s="60"/>
      <x:c r="P27" s="60"/>
      <x:c r="Q27" s="60"/>
    </x:row>
    <x:row r="28">
      <x:c r="A28" s="60"/>
      <x:c r="B28" s="60"/>
      <x:c r="C28" s="60"/>
      <x:c r="D28" s="60"/>
      <x:c r="E28" s="60"/>
      <x:c r="F28" s="60"/>
      <x:c r="G28" s="60"/>
      <x:c r="H28" s="60"/>
      <x:c r="I28" s="60"/>
      <x:c r="J28" s="60"/>
      <x:c r="K28" s="60"/>
      <x:c r="L28" s="60"/>
      <x:c r="M28" s="60"/>
      <x:c r="N28" s="60"/>
      <x:c r="O28" s="60"/>
      <x:c r="P28" s="60"/>
      <x:c r="Q28" s="60"/>
    </x:row>
    <x:row r="29">
      <x:c r="A29" s="60"/>
      <x:c r="B29" s="60"/>
      <x:c r="C29" s="60"/>
      <x:c r="D29" s="60"/>
      <x:c r="E29" s="60"/>
      <x:c r="F29" s="60"/>
      <x:c r="G29" s="60"/>
      <x:c r="H29" s="60"/>
      <x:c r="I29" s="60"/>
      <x:c r="J29" s="60"/>
      <x:c r="K29" s="60"/>
      <x:c r="L29" s="60"/>
      <x:c r="M29" s="60"/>
      <x:c r="N29" s="60"/>
      <x:c r="O29" s="60"/>
      <x:c r="P29" s="60"/>
      <x:c r="Q29" s="60"/>
    </x:row>
    <x:row r="30">
      <x:c r="A30" s="60"/>
      <x:c r="B30" s="60"/>
      <x:c r="C30" s="60"/>
      <x:c r="D30" s="60"/>
      <x:c r="E30" s="60"/>
      <x:c r="F30" s="60"/>
      <x:c r="G30" s="60"/>
      <x:c r="H30" s="60"/>
      <x:c r="I30" s="60"/>
      <x:c r="J30" s="60"/>
      <x:c r="K30" s="60"/>
      <x:c r="L30" s="60"/>
      <x:c r="M30" s="60"/>
      <x:c r="N30" s="60"/>
      <x:c r="O30" s="60"/>
      <x:c r="P30" s="60"/>
      <x:c r="Q30" s="60"/>
    </x:row>
  </x:sheetData>
  <x:mergeCells>
    <x:mergeCell ref="A1:D1"/>
    <x:mergeCell ref="A17:D17"/>
  </x:mergeCells>
  <x:pageMargins left="0.7" right="0.7" top="0.75" bottom="0.75" header="0.3" footer="0.3"/>
</x:worksheet>
</file>